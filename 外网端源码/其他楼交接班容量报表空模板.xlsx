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<sst xmlns="http://schemas.openxmlformats.org/spreadsheetml/2006/main" count="680" uniqueCount="388">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</sst>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55" zoomScaleNormal="85" topLeftCell="A35" workbookViewId="0">
      <selection activeCell="I50" sqref="I50:J50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>
        <f>(U13-U12)/100</f>
        <v>0</v>
      </c>
      <c r="V14" s="69"/>
      <c r="W14" s="70"/>
      <c r="X14" s="68">
        <f>(X13-X12)/100</f>
        <v>0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7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/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/>
      <c r="M25" s="84" t="s">
        <v>76</v>
      </c>
      <c r="N25" s="88"/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/>
      <c r="Z25" s="84" t="s">
        <v>76</v>
      </c>
      <c r="AA25" s="88"/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/>
      <c r="M26" s="84" t="s">
        <v>83</v>
      </c>
      <c r="N26" s="93"/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/>
      <c r="Z26" s="84" t="s">
        <v>83</v>
      </c>
      <c r="AA26" s="93"/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/>
      <c r="G28" s="15"/>
      <c r="H28" s="84" t="s">
        <v>87</v>
      </c>
      <c r="I28" s="100"/>
      <c r="J28" s="100"/>
      <c r="K28" s="84" t="s">
        <v>88</v>
      </c>
      <c r="L28" s="88"/>
      <c r="M28" s="84" t="s">
        <v>89</v>
      </c>
      <c r="N28" s="88">
        <f>N25-N26</f>
        <v>0</v>
      </c>
      <c r="O28" s="55"/>
      <c r="P28" s="84" t="s">
        <v>85</v>
      </c>
      <c r="Q28" s="92" t="s">
        <v>15</v>
      </c>
      <c r="R28" s="84" t="s">
        <v>86</v>
      </c>
      <c r="S28" s="74"/>
      <c r="T28" s="15"/>
      <c r="U28" s="84" t="s">
        <v>87</v>
      </c>
      <c r="V28" s="100"/>
      <c r="W28" s="74"/>
      <c r="X28" s="84" t="s">
        <v>88</v>
      </c>
      <c r="Y28" s="101"/>
      <c r="Z28" s="84" t="s">
        <v>89</v>
      </c>
      <c r="AA28" s="88">
        <f>AA25-AA26</f>
        <v>0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/>
      <c r="M29" s="84" t="s">
        <v>95</v>
      </c>
      <c r="N29" s="88"/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/>
      <c r="Z29" s="84" t="s">
        <v>95</v>
      </c>
      <c r="AA29" s="88"/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>
        <f>L29-L25</f>
        <v>0</v>
      </c>
      <c r="M30" s="84" t="s">
        <v>101</v>
      </c>
      <c r="N30" s="88"/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>
        <f>Y29-Y25</f>
        <v>0</v>
      </c>
      <c r="Z30" s="84" t="s">
        <v>101</v>
      </c>
      <c r="AA30" s="88"/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>
        <f>N29-N30</f>
        <v>0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/>
      <c r="M35" s="104" t="s">
        <v>76</v>
      </c>
      <c r="N35" s="107"/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/>
      <c r="Z35" s="104" t="s">
        <v>76</v>
      </c>
      <c r="AA35" s="106"/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/>
      <c r="M36" s="104" t="s">
        <v>83</v>
      </c>
      <c r="N36" s="107"/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/>
      <c r="Z36" s="104" t="s">
        <v>83</v>
      </c>
      <c r="AA36" s="106"/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 t="s">
        <v>15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/>
      <c r="M38" s="104" t="s">
        <v>89</v>
      </c>
      <c r="N38" s="107">
        <f>N35-N36</f>
        <v>0</v>
      </c>
      <c r="O38" s="55"/>
      <c r="P38" s="104" t="s">
        <v>85</v>
      </c>
      <c r="Q38" s="92" t="s">
        <v>15</v>
      </c>
      <c r="R38" s="104" t="s">
        <v>86</v>
      </c>
      <c r="S38" s="106" t="s">
        <v>15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/>
      <c r="Z38" s="104" t="s">
        <v>89</v>
      </c>
      <c r="AA38" s="106">
        <f>AA35-AA36</f>
        <v>0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 t="s">
        <v>15</v>
      </c>
      <c r="J39" s="106" t="s">
        <v>15</v>
      </c>
      <c r="K39" s="104" t="s">
        <v>94</v>
      </c>
      <c r="L39" s="106"/>
      <c r="M39" s="104" t="s">
        <v>95</v>
      </c>
      <c r="N39" s="107"/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 t="s">
        <v>15</v>
      </c>
      <c r="W39" s="106" t="s">
        <v>15</v>
      </c>
      <c r="X39" s="104" t="s">
        <v>94</v>
      </c>
      <c r="Y39" s="106"/>
      <c r="Z39" s="104" t="s">
        <v>95</v>
      </c>
      <c r="AA39" s="106"/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>
        <f>L39-L35</f>
        <v>0</v>
      </c>
      <c r="M40" s="104" t="s">
        <v>101</v>
      </c>
      <c r="N40" s="107"/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>
        <f>Y39-Y35</f>
        <v>0</v>
      </c>
      <c r="Z40" s="104" t="s">
        <v>101</v>
      </c>
      <c r="AA40" s="106"/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>
        <f>N39-N40</f>
        <v>0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>
        <f>AA39-AA40</f>
        <v>0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5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44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0">
        <v>168</v>
      </c>
      <c r="AB69" s="145">
        <f>67/Z69</f>
        <v>0.394117647058824</v>
      </c>
      <c r="AC69" s="144">
        <v>20</v>
      </c>
      <c r="AD69" s="144">
        <v>0</v>
      </c>
      <c r="AE69" s="151" t="s">
        <v>199</v>
      </c>
      <c r="AF69" s="152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200</v>
      </c>
      <c r="P70" s="144"/>
      <c r="Q70" s="144"/>
      <c r="R70" s="148"/>
      <c r="S70" s="149" t="s">
        <v>201</v>
      </c>
      <c r="T70" s="149"/>
      <c r="U70" s="144">
        <f t="shared" si="0"/>
        <v>0</v>
      </c>
      <c r="V70" s="144">
        <f t="shared" si="1"/>
        <v>0</v>
      </c>
      <c r="W70" s="146"/>
      <c r="X70" s="144"/>
      <c r="Y70" s="145"/>
      <c r="Z70" s="144"/>
      <c r="AA70" s="150"/>
      <c r="AB70" s="145"/>
      <c r="AC70" s="144"/>
      <c r="AD70" s="144"/>
      <c r="AE70" s="153"/>
      <c r="AF70" s="152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202</v>
      </c>
      <c r="P71" s="144"/>
      <c r="Q71" s="144"/>
      <c r="R71" s="148"/>
      <c r="S71" s="149" t="s">
        <v>203</v>
      </c>
      <c r="T71" s="149"/>
      <c r="U71" s="144">
        <f t="shared" si="0"/>
        <v>0</v>
      </c>
      <c r="V71" s="144">
        <f t="shared" si="1"/>
        <v>0</v>
      </c>
      <c r="W71" s="146"/>
      <c r="X71" s="144"/>
      <c r="Y71" s="145"/>
      <c r="Z71" s="144"/>
      <c r="AA71" s="150"/>
      <c r="AB71" s="145"/>
      <c r="AC71" s="144"/>
      <c r="AD71" s="144"/>
      <c r="AE71" s="154"/>
      <c r="AF71" s="152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204</v>
      </c>
      <c r="P72" s="144"/>
      <c r="Q72" s="144"/>
      <c r="R72" s="148"/>
      <c r="S72" s="149" t="s">
        <v>205</v>
      </c>
      <c r="T72" s="149"/>
      <c r="U72" s="144">
        <f t="shared" si="0"/>
        <v>0</v>
      </c>
      <c r="V72" s="144">
        <f t="shared" si="1"/>
        <v>0</v>
      </c>
      <c r="W72" s="146"/>
      <c r="X72" s="144"/>
      <c r="Y72" s="145"/>
      <c r="Z72" s="144"/>
      <c r="AA72" s="150"/>
      <c r="AB72" s="145"/>
      <c r="AC72" s="144"/>
      <c r="AD72" s="144"/>
      <c r="AE72" s="151"/>
      <c r="AF72" s="152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44">
        <f t="shared" si="1"/>
        <v>0</v>
      </c>
      <c r="W73" s="146"/>
      <c r="X73" s="144"/>
      <c r="Y73" s="145"/>
      <c r="Z73" s="144"/>
      <c r="AA73" s="150"/>
      <c r="AB73" s="145"/>
      <c r="AC73" s="144"/>
      <c r="AD73" s="144"/>
      <c r="AE73" s="154"/>
      <c r="AF73" s="152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44">
        <f t="shared" si="1"/>
        <v>0</v>
      </c>
      <c r="W74" s="146"/>
      <c r="X74" s="144"/>
      <c r="Y74" s="145"/>
      <c r="Z74" s="144"/>
      <c r="AA74" s="150"/>
      <c r="AB74" s="145"/>
      <c r="AC74" s="144"/>
      <c r="AD74" s="144"/>
      <c r="AE74" s="151" t="s">
        <v>211</v>
      </c>
      <c r="AF74" s="152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212</v>
      </c>
      <c r="P75" s="144"/>
      <c r="Q75" s="144"/>
      <c r="R75" s="148"/>
      <c r="S75" s="149" t="s">
        <v>213</v>
      </c>
      <c r="T75" s="149"/>
      <c r="U75" s="144">
        <f t="shared" si="0"/>
        <v>0</v>
      </c>
      <c r="V75" s="144">
        <f t="shared" si="1"/>
        <v>0</v>
      </c>
      <c r="W75" s="146"/>
      <c r="X75" s="144"/>
      <c r="Y75" s="145"/>
      <c r="Z75" s="144"/>
      <c r="AA75" s="150"/>
      <c r="AB75" s="145"/>
      <c r="AC75" s="144"/>
      <c r="AD75" s="144"/>
      <c r="AE75" s="153"/>
      <c r="AF75" s="152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214</v>
      </c>
      <c r="P76" s="144"/>
      <c r="Q76" s="144"/>
      <c r="R76" s="148"/>
      <c r="S76" s="149" t="s">
        <v>215</v>
      </c>
      <c r="T76" s="149"/>
      <c r="U76" s="144">
        <f t="shared" si="0"/>
        <v>0</v>
      </c>
      <c r="V76" s="144">
        <f t="shared" si="1"/>
        <v>0</v>
      </c>
      <c r="W76" s="146"/>
      <c r="X76" s="144"/>
      <c r="Y76" s="145"/>
      <c r="Z76" s="144"/>
      <c r="AA76" s="150"/>
      <c r="AB76" s="145"/>
      <c r="AC76" s="144"/>
      <c r="AD76" s="144"/>
      <c r="AE76" s="154"/>
      <c r="AF76" s="152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216</v>
      </c>
      <c r="P77" s="144"/>
      <c r="Q77" s="144"/>
      <c r="R77" s="148"/>
      <c r="S77" s="149" t="s">
        <v>217</v>
      </c>
      <c r="T77" s="149"/>
      <c r="U77" s="144">
        <f t="shared" si="0"/>
        <v>0</v>
      </c>
      <c r="V77" s="144">
        <f t="shared" si="1"/>
        <v>0</v>
      </c>
      <c r="W77" s="146"/>
      <c r="X77" s="144"/>
      <c r="Y77" s="145"/>
      <c r="Z77" s="144"/>
      <c r="AA77" s="150"/>
      <c r="AB77" s="145"/>
      <c r="AC77" s="144"/>
      <c r="AD77" s="144"/>
      <c r="AE77" s="151"/>
      <c r="AF77" s="152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44">
        <f t="shared" si="1"/>
        <v>0</v>
      </c>
      <c r="W78" s="146"/>
      <c r="X78" s="144"/>
      <c r="Y78" s="145"/>
      <c r="Z78" s="144"/>
      <c r="AA78" s="150"/>
      <c r="AB78" s="145"/>
      <c r="AC78" s="144"/>
      <c r="AD78" s="144"/>
      <c r="AE78" s="154"/>
      <c r="AF78" s="152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5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44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0">
        <v>170</v>
      </c>
      <c r="AB79" s="145">
        <f>77/Z79</f>
        <v>0.452941176470588</v>
      </c>
      <c r="AC79" s="144">
        <v>20</v>
      </c>
      <c r="AD79" s="144">
        <v>0</v>
      </c>
      <c r="AE79" s="151" t="s">
        <v>199</v>
      </c>
      <c r="AF79" s="152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5"/>
      <c r="J80" s="144"/>
      <c r="K80" s="145"/>
      <c r="L80" s="144"/>
      <c r="M80" s="144"/>
      <c r="N80" s="144"/>
      <c r="O80" s="147" t="s">
        <v>225</v>
      </c>
      <c r="P80" s="144"/>
      <c r="Q80" s="144"/>
      <c r="R80" s="148"/>
      <c r="S80" s="149" t="s">
        <v>226</v>
      </c>
      <c r="T80" s="149"/>
      <c r="U80" s="144">
        <f t="shared" si="0"/>
        <v>0</v>
      </c>
      <c r="V80" s="144">
        <f t="shared" si="1"/>
        <v>0</v>
      </c>
      <c r="W80" s="146"/>
      <c r="X80" s="144"/>
      <c r="Y80" s="145"/>
      <c r="Z80" s="144"/>
      <c r="AA80" s="150"/>
      <c r="AB80" s="145"/>
      <c r="AC80" s="144"/>
      <c r="AD80" s="144"/>
      <c r="AE80" s="153"/>
      <c r="AF80" s="152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5"/>
      <c r="J81" s="144"/>
      <c r="K81" s="145"/>
      <c r="L81" s="144"/>
      <c r="M81" s="144"/>
      <c r="N81" s="144"/>
      <c r="O81" s="147" t="s">
        <v>227</v>
      </c>
      <c r="P81" s="144"/>
      <c r="Q81" s="144"/>
      <c r="R81" s="148"/>
      <c r="S81" s="149" t="s">
        <v>228</v>
      </c>
      <c r="T81" s="149"/>
      <c r="U81" s="144">
        <f t="shared" si="0"/>
        <v>0</v>
      </c>
      <c r="V81" s="144">
        <f t="shared" si="1"/>
        <v>0</v>
      </c>
      <c r="W81" s="146"/>
      <c r="X81" s="144"/>
      <c r="Y81" s="145"/>
      <c r="Z81" s="144"/>
      <c r="AA81" s="150"/>
      <c r="AB81" s="145"/>
      <c r="AC81" s="144"/>
      <c r="AD81" s="144"/>
      <c r="AE81" s="154"/>
      <c r="AF81" s="152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5"/>
      <c r="J82" s="144"/>
      <c r="K82" s="145"/>
      <c r="L82" s="144"/>
      <c r="M82" s="144"/>
      <c r="N82" s="144"/>
      <c r="O82" s="147" t="s">
        <v>229</v>
      </c>
      <c r="P82" s="144"/>
      <c r="Q82" s="144"/>
      <c r="R82" s="148"/>
      <c r="S82" s="149" t="s">
        <v>230</v>
      </c>
      <c r="T82" s="149"/>
      <c r="U82" s="144">
        <f t="shared" si="0"/>
        <v>0</v>
      </c>
      <c r="V82" s="144">
        <f t="shared" si="1"/>
        <v>0</v>
      </c>
      <c r="W82" s="146"/>
      <c r="X82" s="144"/>
      <c r="Y82" s="145"/>
      <c r="Z82" s="144"/>
      <c r="AA82" s="150"/>
      <c r="AB82" s="145"/>
      <c r="AC82" s="144"/>
      <c r="AD82" s="144"/>
      <c r="AE82" s="151"/>
      <c r="AF82" s="152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5"/>
      <c r="J83" s="144"/>
      <c r="K83" s="145"/>
      <c r="L83" s="144"/>
      <c r="M83" s="144"/>
      <c r="N83" s="144"/>
      <c r="O83" s="147" t="s">
        <v>231</v>
      </c>
      <c r="P83" s="144"/>
      <c r="Q83" s="144"/>
      <c r="R83" s="148"/>
      <c r="S83" s="149" t="s">
        <v>232</v>
      </c>
      <c r="T83" s="149"/>
      <c r="U83" s="144">
        <f t="shared" si="0"/>
        <v>0</v>
      </c>
      <c r="V83" s="144">
        <f t="shared" si="1"/>
        <v>0</v>
      </c>
      <c r="W83" s="146"/>
      <c r="X83" s="144"/>
      <c r="Y83" s="145"/>
      <c r="Z83" s="144"/>
      <c r="AA83" s="150"/>
      <c r="AB83" s="145"/>
      <c r="AC83" s="144"/>
      <c r="AD83" s="144"/>
      <c r="AE83" s="154"/>
      <c r="AF83" s="152"/>
    </row>
    <row r="84" s="10" customFormat="1" ht="14.15" customHeight="1" spans="1:32">
      <c r="A84" s="144"/>
      <c r="B84" s="144" t="s">
        <v>233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5"/>
      <c r="J84" s="144"/>
      <c r="K84" s="145"/>
      <c r="L84" s="144"/>
      <c r="M84" s="144"/>
      <c r="N84" s="144"/>
      <c r="O84" s="147" t="s">
        <v>234</v>
      </c>
      <c r="P84" s="144"/>
      <c r="Q84" s="144"/>
      <c r="R84" s="148"/>
      <c r="S84" s="149" t="s">
        <v>235</v>
      </c>
      <c r="T84" s="149"/>
      <c r="U84" s="144">
        <f t="shared" si="0"/>
        <v>0</v>
      </c>
      <c r="V84" s="144">
        <f t="shared" si="1"/>
        <v>0</v>
      </c>
      <c r="W84" s="146"/>
      <c r="X84" s="144"/>
      <c r="Y84" s="145"/>
      <c r="Z84" s="144"/>
      <c r="AA84" s="150"/>
      <c r="AB84" s="145"/>
      <c r="AC84" s="144"/>
      <c r="AD84" s="144"/>
      <c r="AE84" s="151" t="s">
        <v>211</v>
      </c>
      <c r="AF84" s="152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5"/>
      <c r="J85" s="144"/>
      <c r="K85" s="145"/>
      <c r="L85" s="144"/>
      <c r="M85" s="144"/>
      <c r="N85" s="144"/>
      <c r="O85" s="147" t="s">
        <v>236</v>
      </c>
      <c r="P85" s="144"/>
      <c r="Q85" s="144"/>
      <c r="R85" s="148"/>
      <c r="S85" s="149" t="s">
        <v>237</v>
      </c>
      <c r="T85" s="149"/>
      <c r="U85" s="144">
        <f t="shared" si="0"/>
        <v>0</v>
      </c>
      <c r="V85" s="144">
        <f t="shared" si="1"/>
        <v>0</v>
      </c>
      <c r="W85" s="146"/>
      <c r="X85" s="144"/>
      <c r="Y85" s="145"/>
      <c r="Z85" s="144"/>
      <c r="AA85" s="150"/>
      <c r="AB85" s="145"/>
      <c r="AC85" s="144"/>
      <c r="AD85" s="144"/>
      <c r="AE85" s="153"/>
      <c r="AF85" s="152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5"/>
      <c r="J86" s="144"/>
      <c r="K86" s="145"/>
      <c r="L86" s="144"/>
      <c r="M86" s="144"/>
      <c r="N86" s="144"/>
      <c r="O86" s="147" t="s">
        <v>238</v>
      </c>
      <c r="P86" s="144"/>
      <c r="Q86" s="144"/>
      <c r="R86" s="148"/>
      <c r="S86" s="149" t="s">
        <v>239</v>
      </c>
      <c r="T86" s="149"/>
      <c r="U86" s="144">
        <f t="shared" si="0"/>
        <v>0</v>
      </c>
      <c r="V86" s="144">
        <f t="shared" si="1"/>
        <v>0</v>
      </c>
      <c r="W86" s="146"/>
      <c r="X86" s="144"/>
      <c r="Y86" s="145"/>
      <c r="Z86" s="144"/>
      <c r="AA86" s="150"/>
      <c r="AB86" s="145"/>
      <c r="AC86" s="144"/>
      <c r="AD86" s="144"/>
      <c r="AE86" s="154"/>
      <c r="AF86" s="152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5"/>
      <c r="J87" s="144"/>
      <c r="K87" s="145"/>
      <c r="L87" s="144"/>
      <c r="M87" s="144"/>
      <c r="N87" s="144"/>
      <c r="O87" s="147" t="s">
        <v>240</v>
      </c>
      <c r="P87" s="144"/>
      <c r="Q87" s="144"/>
      <c r="R87" s="148"/>
      <c r="S87" s="149" t="s">
        <v>241</v>
      </c>
      <c r="T87" s="149"/>
      <c r="U87" s="144">
        <f t="shared" si="0"/>
        <v>0</v>
      </c>
      <c r="V87" s="144">
        <f t="shared" si="1"/>
        <v>0</v>
      </c>
      <c r="W87" s="146"/>
      <c r="X87" s="144"/>
      <c r="Y87" s="145"/>
      <c r="Z87" s="144"/>
      <c r="AA87" s="150"/>
      <c r="AB87" s="145"/>
      <c r="AC87" s="144"/>
      <c r="AD87" s="144"/>
      <c r="AE87" s="151"/>
      <c r="AF87" s="152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5"/>
      <c r="J88" s="144"/>
      <c r="K88" s="145"/>
      <c r="L88" s="144"/>
      <c r="M88" s="144"/>
      <c r="N88" s="144"/>
      <c r="O88" s="147" t="s">
        <v>242</v>
      </c>
      <c r="P88" s="144"/>
      <c r="Q88" s="144"/>
      <c r="R88" s="148"/>
      <c r="S88" s="149" t="s">
        <v>243</v>
      </c>
      <c r="T88" s="149"/>
      <c r="U88" s="144">
        <f t="shared" si="0"/>
        <v>0</v>
      </c>
      <c r="V88" s="144">
        <f t="shared" si="1"/>
        <v>0</v>
      </c>
      <c r="W88" s="146"/>
      <c r="X88" s="144"/>
      <c r="Y88" s="145"/>
      <c r="Z88" s="144"/>
      <c r="AA88" s="150"/>
      <c r="AB88" s="145"/>
      <c r="AC88" s="144"/>
      <c r="AD88" s="144"/>
      <c r="AE88" s="154"/>
      <c r="AF88" s="152"/>
    </row>
    <row r="89" s="10" customFormat="1" ht="14.15" customHeight="1" spans="1:32">
      <c r="A89" s="144" t="s">
        <v>244</v>
      </c>
      <c r="B89" s="144" t="s">
        <v>245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246</v>
      </c>
      <c r="J89" s="144"/>
      <c r="K89" s="145">
        <f>J89/300</f>
        <v>0</v>
      </c>
      <c r="L89" s="144" t="s">
        <v>194</v>
      </c>
      <c r="M89" s="144"/>
      <c r="N89" s="144"/>
      <c r="O89" s="156" t="s">
        <v>247</v>
      </c>
      <c r="P89" s="144"/>
      <c r="Q89" s="144"/>
      <c r="R89" s="148"/>
      <c r="S89" s="149" t="s">
        <v>248</v>
      </c>
      <c r="T89" s="149"/>
      <c r="U89" s="144">
        <f t="shared" si="0"/>
        <v>0</v>
      </c>
      <c r="V89" s="144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0">
        <v>140</v>
      </c>
      <c r="AB89" s="145">
        <f>87/Z89</f>
        <v>0.564935064935065</v>
      </c>
      <c r="AC89" s="144">
        <v>12</v>
      </c>
      <c r="AD89" s="144">
        <v>8</v>
      </c>
      <c r="AE89" s="151" t="s">
        <v>199</v>
      </c>
      <c r="AF89" s="152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6" t="s">
        <v>249</v>
      </c>
      <c r="P90" s="144"/>
      <c r="Q90" s="144"/>
      <c r="R90" s="148"/>
      <c r="S90" s="149" t="s">
        <v>250</v>
      </c>
      <c r="T90" s="149"/>
      <c r="U90" s="144">
        <f t="shared" si="0"/>
        <v>0</v>
      </c>
      <c r="V90" s="144">
        <f t="shared" si="1"/>
        <v>0</v>
      </c>
      <c r="W90" s="146"/>
      <c r="X90" s="144"/>
      <c r="Y90" s="145"/>
      <c r="Z90" s="144"/>
      <c r="AA90" s="150"/>
      <c r="AB90" s="145"/>
      <c r="AC90" s="144"/>
      <c r="AD90" s="144"/>
      <c r="AE90" s="153"/>
      <c r="AF90" s="152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6" t="s">
        <v>251</v>
      </c>
      <c r="P91" s="144"/>
      <c r="Q91" s="144"/>
      <c r="R91" s="148"/>
      <c r="S91" s="149" t="s">
        <v>252</v>
      </c>
      <c r="T91" s="149"/>
      <c r="U91" s="144">
        <f t="shared" si="0"/>
        <v>0</v>
      </c>
      <c r="V91" s="144">
        <f t="shared" si="1"/>
        <v>0</v>
      </c>
      <c r="W91" s="146"/>
      <c r="X91" s="144"/>
      <c r="Y91" s="145"/>
      <c r="Z91" s="144"/>
      <c r="AA91" s="150"/>
      <c r="AB91" s="145"/>
      <c r="AC91" s="144"/>
      <c r="AD91" s="144"/>
      <c r="AE91" s="153"/>
      <c r="AF91" s="152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6" t="s">
        <v>253</v>
      </c>
      <c r="P92" s="144"/>
      <c r="Q92" s="144"/>
      <c r="R92" s="148"/>
      <c r="S92" s="149" t="s">
        <v>254</v>
      </c>
      <c r="T92" s="149"/>
      <c r="U92" s="144">
        <f t="shared" si="0"/>
        <v>0</v>
      </c>
      <c r="V92" s="144">
        <f t="shared" si="1"/>
        <v>0</v>
      </c>
      <c r="W92" s="146"/>
      <c r="X92" s="144"/>
      <c r="Y92" s="145"/>
      <c r="Z92" s="144"/>
      <c r="AA92" s="150"/>
      <c r="AB92" s="145"/>
      <c r="AC92" s="144"/>
      <c r="AD92" s="144"/>
      <c r="AE92" s="154"/>
      <c r="AF92" s="152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6" t="s">
        <v>255</v>
      </c>
      <c r="P93" s="144"/>
      <c r="Q93" s="144"/>
      <c r="R93" s="148"/>
      <c r="S93" s="149" t="s">
        <v>256</v>
      </c>
      <c r="T93" s="149"/>
      <c r="U93" s="144">
        <f t="shared" si="0"/>
        <v>0</v>
      </c>
      <c r="V93" s="144">
        <f t="shared" si="1"/>
        <v>0</v>
      </c>
      <c r="W93" s="146"/>
      <c r="X93" s="144"/>
      <c r="Y93" s="145"/>
      <c r="Z93" s="144"/>
      <c r="AA93" s="150"/>
      <c r="AB93" s="145"/>
      <c r="AC93" s="144"/>
      <c r="AD93" s="144"/>
      <c r="AE93" s="151"/>
      <c r="AF93" s="152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6" t="s">
        <v>257</v>
      </c>
      <c r="P94" s="144"/>
      <c r="Q94" s="144"/>
      <c r="R94" s="148"/>
      <c r="S94" s="149" t="s">
        <v>258</v>
      </c>
      <c r="T94" s="149"/>
      <c r="U94" s="144">
        <f t="shared" si="0"/>
        <v>0</v>
      </c>
      <c r="V94" s="144">
        <f t="shared" si="1"/>
        <v>0</v>
      </c>
      <c r="W94" s="146"/>
      <c r="X94" s="144"/>
      <c r="Y94" s="145"/>
      <c r="Z94" s="144"/>
      <c r="AA94" s="150"/>
      <c r="AB94" s="145"/>
      <c r="AC94" s="144"/>
      <c r="AD94" s="144"/>
      <c r="AE94" s="153"/>
      <c r="AF94" s="152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6" t="s">
        <v>259</v>
      </c>
      <c r="P95" s="144"/>
      <c r="Q95" s="144"/>
      <c r="R95" s="148"/>
      <c r="S95" s="149" t="s">
        <v>260</v>
      </c>
      <c r="T95" s="149"/>
      <c r="U95" s="144">
        <f t="shared" si="0"/>
        <v>0</v>
      </c>
      <c r="V95" s="144">
        <f t="shared" si="1"/>
        <v>0</v>
      </c>
      <c r="W95" s="146"/>
      <c r="X95" s="144"/>
      <c r="Y95" s="145"/>
      <c r="Z95" s="144"/>
      <c r="AA95" s="150"/>
      <c r="AB95" s="145"/>
      <c r="AC95" s="144"/>
      <c r="AD95" s="144"/>
      <c r="AE95" s="154"/>
      <c r="AF95" s="152"/>
    </row>
    <row r="96" s="10" customFormat="1" ht="14.15" customHeight="1" spans="1:32">
      <c r="A96" s="144"/>
      <c r="B96" s="144" t="s">
        <v>261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6" t="s">
        <v>262</v>
      </c>
      <c r="P96" s="144"/>
      <c r="Q96" s="144"/>
      <c r="R96" s="148"/>
      <c r="S96" s="149" t="s">
        <v>263</v>
      </c>
      <c r="T96" s="149"/>
      <c r="U96" s="144">
        <f t="shared" si="0"/>
        <v>0</v>
      </c>
      <c r="V96" s="144">
        <f t="shared" si="1"/>
        <v>0</v>
      </c>
      <c r="W96" s="146"/>
      <c r="X96" s="144"/>
      <c r="Y96" s="145"/>
      <c r="Z96" s="144"/>
      <c r="AA96" s="150"/>
      <c r="AB96" s="145"/>
      <c r="AC96" s="144"/>
      <c r="AD96" s="144"/>
      <c r="AE96" s="151" t="s">
        <v>211</v>
      </c>
      <c r="AF96" s="152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6" t="s">
        <v>264</v>
      </c>
      <c r="P97" s="144"/>
      <c r="Q97" s="144"/>
      <c r="R97" s="148"/>
      <c r="S97" s="149" t="s">
        <v>265</v>
      </c>
      <c r="T97" s="149"/>
      <c r="U97" s="144">
        <f t="shared" si="0"/>
        <v>0</v>
      </c>
      <c r="V97" s="144">
        <f t="shared" si="1"/>
        <v>0</v>
      </c>
      <c r="W97" s="146"/>
      <c r="X97" s="144"/>
      <c r="Y97" s="145"/>
      <c r="Z97" s="144"/>
      <c r="AA97" s="150"/>
      <c r="AB97" s="145"/>
      <c r="AC97" s="144"/>
      <c r="AD97" s="144"/>
      <c r="AE97" s="153"/>
      <c r="AF97" s="152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6" t="s">
        <v>266</v>
      </c>
      <c r="P98" s="144"/>
      <c r="Q98" s="144"/>
      <c r="R98" s="148"/>
      <c r="S98" s="149" t="s">
        <v>267</v>
      </c>
      <c r="T98" s="149"/>
      <c r="U98" s="144">
        <f t="shared" si="0"/>
        <v>0</v>
      </c>
      <c r="V98" s="144">
        <f t="shared" si="1"/>
        <v>0</v>
      </c>
      <c r="W98" s="146"/>
      <c r="X98" s="144"/>
      <c r="Y98" s="145"/>
      <c r="Z98" s="144"/>
      <c r="AA98" s="150"/>
      <c r="AB98" s="145"/>
      <c r="AC98" s="144"/>
      <c r="AD98" s="144"/>
      <c r="AE98" s="153"/>
      <c r="AF98" s="152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6" t="s">
        <v>268</v>
      </c>
      <c r="P99" s="144"/>
      <c r="Q99" s="144"/>
      <c r="R99" s="148"/>
      <c r="S99" s="149" t="s">
        <v>269</v>
      </c>
      <c r="T99" s="149"/>
      <c r="U99" s="144">
        <f t="shared" si="0"/>
        <v>0</v>
      </c>
      <c r="V99" s="144">
        <f t="shared" si="1"/>
        <v>0</v>
      </c>
      <c r="W99" s="146"/>
      <c r="X99" s="144"/>
      <c r="Y99" s="145"/>
      <c r="Z99" s="144"/>
      <c r="AA99" s="150"/>
      <c r="AB99" s="145"/>
      <c r="AC99" s="144"/>
      <c r="AD99" s="144"/>
      <c r="AE99" s="154"/>
      <c r="AF99" s="152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6" t="s">
        <v>270</v>
      </c>
      <c r="P100" s="144"/>
      <c r="Q100" s="144"/>
      <c r="R100" s="148"/>
      <c r="S100" s="149" t="s">
        <v>271</v>
      </c>
      <c r="T100" s="149"/>
      <c r="U100" s="144">
        <f t="shared" si="0"/>
        <v>0</v>
      </c>
      <c r="V100" s="144">
        <f t="shared" si="1"/>
        <v>0</v>
      </c>
      <c r="W100" s="146"/>
      <c r="X100" s="144"/>
      <c r="Y100" s="145"/>
      <c r="Z100" s="144"/>
      <c r="AA100" s="150"/>
      <c r="AB100" s="145"/>
      <c r="AC100" s="144"/>
      <c r="AD100" s="144"/>
      <c r="AE100" s="151"/>
      <c r="AF100" s="152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6" t="s">
        <v>272</v>
      </c>
      <c r="P101" s="144"/>
      <c r="Q101" s="144"/>
      <c r="R101" s="148"/>
      <c r="S101" s="149" t="s">
        <v>273</v>
      </c>
      <c r="T101" s="149"/>
      <c r="U101" s="144">
        <f t="shared" si="0"/>
        <v>0</v>
      </c>
      <c r="V101" s="144">
        <f t="shared" si="1"/>
        <v>0</v>
      </c>
      <c r="W101" s="146"/>
      <c r="X101" s="144"/>
      <c r="Y101" s="145"/>
      <c r="Z101" s="144"/>
      <c r="AA101" s="150"/>
      <c r="AB101" s="145"/>
      <c r="AC101" s="144"/>
      <c r="AD101" s="144"/>
      <c r="AE101" s="153"/>
      <c r="AF101" s="152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6" t="s">
        <v>274</v>
      </c>
      <c r="P102" s="144"/>
      <c r="Q102" s="144"/>
      <c r="R102" s="148"/>
      <c r="S102" s="149" t="s">
        <v>275</v>
      </c>
      <c r="T102" s="149"/>
      <c r="U102" s="144">
        <f t="shared" si="0"/>
        <v>0</v>
      </c>
      <c r="V102" s="144">
        <f t="shared" si="1"/>
        <v>0</v>
      </c>
      <c r="W102" s="146"/>
      <c r="X102" s="144"/>
      <c r="Y102" s="145"/>
      <c r="Z102" s="144"/>
      <c r="AA102" s="150"/>
      <c r="AB102" s="145"/>
      <c r="AC102" s="144"/>
      <c r="AD102" s="144"/>
      <c r="AE102" s="154"/>
      <c r="AF102" s="152"/>
    </row>
    <row r="103" s="10" customFormat="1" ht="14.15" customHeight="1" spans="1:32">
      <c r="A103" s="144" t="s">
        <v>276</v>
      </c>
      <c r="B103" s="144" t="s">
        <v>277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278</v>
      </c>
      <c r="J103" s="144"/>
      <c r="K103" s="145">
        <f>J103/300</f>
        <v>0</v>
      </c>
      <c r="L103" s="144" t="s">
        <v>194</v>
      </c>
      <c r="M103" s="144"/>
      <c r="N103" s="144"/>
      <c r="O103" s="156" t="s">
        <v>279</v>
      </c>
      <c r="P103" s="144"/>
      <c r="Q103" s="144"/>
      <c r="R103" s="148"/>
      <c r="S103" s="149" t="s">
        <v>280</v>
      </c>
      <c r="T103" s="149"/>
      <c r="U103" s="144">
        <f t="shared" si="0"/>
        <v>0</v>
      </c>
      <c r="V103" s="144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0">
        <v>152</v>
      </c>
      <c r="AB103" s="145">
        <f>101/Z103</f>
        <v>0.655844155844156</v>
      </c>
      <c r="AC103" s="144">
        <v>12</v>
      </c>
      <c r="AD103" s="144">
        <v>8</v>
      </c>
      <c r="AE103" s="151" t="s">
        <v>199</v>
      </c>
      <c r="AF103" s="152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281</v>
      </c>
      <c r="P104" s="144"/>
      <c r="Q104" s="144"/>
      <c r="R104" s="148"/>
      <c r="S104" s="149" t="s">
        <v>282</v>
      </c>
      <c r="T104" s="149"/>
      <c r="U104" s="144">
        <f t="shared" si="0"/>
        <v>0</v>
      </c>
      <c r="V104" s="144">
        <f t="shared" si="1"/>
        <v>0</v>
      </c>
      <c r="W104" s="146"/>
      <c r="X104" s="144"/>
      <c r="Y104" s="145"/>
      <c r="Z104" s="144"/>
      <c r="AA104" s="150"/>
      <c r="AB104" s="145"/>
      <c r="AC104" s="144"/>
      <c r="AD104" s="144"/>
      <c r="AE104" s="153"/>
      <c r="AF104" s="152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6" t="s">
        <v>283</v>
      </c>
      <c r="P105" s="144"/>
      <c r="Q105" s="144"/>
      <c r="R105" s="148"/>
      <c r="S105" s="149" t="s">
        <v>284</v>
      </c>
      <c r="T105" s="149"/>
      <c r="U105" s="144">
        <f t="shared" si="0"/>
        <v>0</v>
      </c>
      <c r="V105" s="144">
        <f t="shared" si="1"/>
        <v>0</v>
      </c>
      <c r="W105" s="146"/>
      <c r="X105" s="144"/>
      <c r="Y105" s="145"/>
      <c r="Z105" s="144"/>
      <c r="AA105" s="150"/>
      <c r="AB105" s="145"/>
      <c r="AC105" s="144"/>
      <c r="AD105" s="144"/>
      <c r="AE105" s="153"/>
      <c r="AF105" s="152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285</v>
      </c>
      <c r="P106" s="144"/>
      <c r="Q106" s="144"/>
      <c r="R106" s="148"/>
      <c r="S106" s="149" t="s">
        <v>286</v>
      </c>
      <c r="T106" s="149"/>
      <c r="U106" s="144">
        <f t="shared" si="0"/>
        <v>0</v>
      </c>
      <c r="V106" s="144">
        <f t="shared" si="1"/>
        <v>0</v>
      </c>
      <c r="W106" s="146"/>
      <c r="X106" s="144"/>
      <c r="Y106" s="145"/>
      <c r="Z106" s="144"/>
      <c r="AA106" s="150"/>
      <c r="AB106" s="145"/>
      <c r="AC106" s="144"/>
      <c r="AD106" s="144"/>
      <c r="AE106" s="154"/>
      <c r="AF106" s="152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6" t="s">
        <v>287</v>
      </c>
      <c r="P107" s="144"/>
      <c r="Q107" s="144"/>
      <c r="R107" s="148"/>
      <c r="S107" s="149" t="s">
        <v>288</v>
      </c>
      <c r="T107" s="149"/>
      <c r="U107" s="144">
        <f t="shared" si="0"/>
        <v>0</v>
      </c>
      <c r="V107" s="144">
        <f t="shared" si="1"/>
        <v>0</v>
      </c>
      <c r="W107" s="146"/>
      <c r="X107" s="144"/>
      <c r="Y107" s="145"/>
      <c r="Z107" s="144"/>
      <c r="AA107" s="150"/>
      <c r="AB107" s="145"/>
      <c r="AC107" s="144"/>
      <c r="AD107" s="144"/>
      <c r="AE107" s="151"/>
      <c r="AF107" s="152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289</v>
      </c>
      <c r="P108" s="144"/>
      <c r="Q108" s="144"/>
      <c r="R108" s="148"/>
      <c r="S108" s="149" t="s">
        <v>290</v>
      </c>
      <c r="T108" s="149"/>
      <c r="U108" s="144">
        <f t="shared" si="0"/>
        <v>0</v>
      </c>
      <c r="V108" s="144">
        <f t="shared" si="1"/>
        <v>0</v>
      </c>
      <c r="W108" s="146"/>
      <c r="X108" s="144"/>
      <c r="Y108" s="145"/>
      <c r="Z108" s="144"/>
      <c r="AA108" s="150"/>
      <c r="AB108" s="145"/>
      <c r="AC108" s="144"/>
      <c r="AD108" s="144"/>
      <c r="AE108" s="153"/>
      <c r="AF108" s="152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6" t="s">
        <v>291</v>
      </c>
      <c r="P109" s="144"/>
      <c r="Q109" s="144"/>
      <c r="R109" s="148"/>
      <c r="S109" s="149" t="s">
        <v>292</v>
      </c>
      <c r="T109" s="149"/>
      <c r="U109" s="144">
        <f t="shared" si="0"/>
        <v>0</v>
      </c>
      <c r="V109" s="144">
        <f t="shared" si="1"/>
        <v>0</v>
      </c>
      <c r="W109" s="146"/>
      <c r="X109" s="144"/>
      <c r="Y109" s="145"/>
      <c r="Z109" s="144"/>
      <c r="AA109" s="150"/>
      <c r="AB109" s="145"/>
      <c r="AC109" s="144"/>
      <c r="AD109" s="144"/>
      <c r="AE109" s="154"/>
      <c r="AF109" s="152"/>
    </row>
    <row r="110" s="10" customFormat="1" ht="14.15" customHeight="1" spans="1:32">
      <c r="A110" s="144"/>
      <c r="B110" s="144" t="s">
        <v>293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294</v>
      </c>
      <c r="P110" s="144"/>
      <c r="Q110" s="144"/>
      <c r="R110" s="148"/>
      <c r="S110" s="149" t="s">
        <v>295</v>
      </c>
      <c r="T110" s="149"/>
      <c r="U110" s="144">
        <f t="shared" si="0"/>
        <v>0</v>
      </c>
      <c r="V110" s="144">
        <f t="shared" si="1"/>
        <v>0</v>
      </c>
      <c r="W110" s="146"/>
      <c r="X110" s="144"/>
      <c r="Y110" s="145"/>
      <c r="Z110" s="144"/>
      <c r="AA110" s="150"/>
      <c r="AB110" s="145"/>
      <c r="AC110" s="144"/>
      <c r="AD110" s="144"/>
      <c r="AE110" s="151" t="s">
        <v>211</v>
      </c>
      <c r="AF110" s="152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296</v>
      </c>
      <c r="P111" s="144"/>
      <c r="Q111" s="144"/>
      <c r="R111" s="148"/>
      <c r="S111" s="149" t="s">
        <v>297</v>
      </c>
      <c r="T111" s="149"/>
      <c r="U111" s="144">
        <f t="shared" si="0"/>
        <v>0</v>
      </c>
      <c r="V111" s="144">
        <f t="shared" si="1"/>
        <v>0</v>
      </c>
      <c r="W111" s="146"/>
      <c r="X111" s="144"/>
      <c r="Y111" s="145"/>
      <c r="Z111" s="144"/>
      <c r="AA111" s="150"/>
      <c r="AB111" s="145"/>
      <c r="AC111" s="144"/>
      <c r="AD111" s="144"/>
      <c r="AE111" s="153"/>
      <c r="AF111" s="152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298</v>
      </c>
      <c r="P112" s="144"/>
      <c r="Q112" s="144"/>
      <c r="R112" s="148"/>
      <c r="S112" s="149" t="s">
        <v>299</v>
      </c>
      <c r="T112" s="149"/>
      <c r="U112" s="144">
        <f t="shared" si="0"/>
        <v>0</v>
      </c>
      <c r="V112" s="144">
        <f t="shared" si="1"/>
        <v>0</v>
      </c>
      <c r="W112" s="146"/>
      <c r="X112" s="144"/>
      <c r="Y112" s="145"/>
      <c r="Z112" s="144"/>
      <c r="AA112" s="150"/>
      <c r="AB112" s="145"/>
      <c r="AC112" s="144"/>
      <c r="AD112" s="144"/>
      <c r="AE112" s="153"/>
      <c r="AF112" s="152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300</v>
      </c>
      <c r="P113" s="144"/>
      <c r="Q113" s="144"/>
      <c r="R113" s="148"/>
      <c r="S113" s="149" t="s">
        <v>301</v>
      </c>
      <c r="T113" s="149"/>
      <c r="U113" s="144">
        <f t="shared" si="0"/>
        <v>0</v>
      </c>
      <c r="V113" s="144">
        <f t="shared" si="1"/>
        <v>0</v>
      </c>
      <c r="W113" s="146"/>
      <c r="X113" s="144"/>
      <c r="Y113" s="145"/>
      <c r="Z113" s="144"/>
      <c r="AA113" s="150"/>
      <c r="AB113" s="145"/>
      <c r="AC113" s="144"/>
      <c r="AD113" s="144"/>
      <c r="AE113" s="154"/>
      <c r="AF113" s="152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302</v>
      </c>
      <c r="P114" s="144"/>
      <c r="Q114" s="144"/>
      <c r="R114" s="148"/>
      <c r="S114" s="149" t="s">
        <v>303</v>
      </c>
      <c r="T114" s="149"/>
      <c r="U114" s="144">
        <f t="shared" si="0"/>
        <v>0</v>
      </c>
      <c r="V114" s="144">
        <f t="shared" si="1"/>
        <v>0</v>
      </c>
      <c r="W114" s="146"/>
      <c r="X114" s="144"/>
      <c r="Y114" s="145"/>
      <c r="Z114" s="144"/>
      <c r="AA114" s="150"/>
      <c r="AB114" s="145"/>
      <c r="AC114" s="144"/>
      <c r="AD114" s="144"/>
      <c r="AE114" s="151"/>
      <c r="AF114" s="152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304</v>
      </c>
      <c r="P115" s="144"/>
      <c r="Q115" s="144"/>
      <c r="R115" s="148"/>
      <c r="S115" s="149" t="s">
        <v>305</v>
      </c>
      <c r="T115" s="149"/>
      <c r="U115" s="144">
        <f t="shared" si="0"/>
        <v>0</v>
      </c>
      <c r="V115" s="144">
        <f t="shared" si="1"/>
        <v>0</v>
      </c>
      <c r="W115" s="146"/>
      <c r="X115" s="144"/>
      <c r="Y115" s="145"/>
      <c r="Z115" s="144"/>
      <c r="AA115" s="150"/>
      <c r="AB115" s="145"/>
      <c r="AC115" s="144"/>
      <c r="AD115" s="144"/>
      <c r="AE115" s="153"/>
      <c r="AF115" s="152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306</v>
      </c>
      <c r="P116" s="144"/>
      <c r="Q116" s="144"/>
      <c r="R116" s="148"/>
      <c r="S116" s="149" t="s">
        <v>307</v>
      </c>
      <c r="T116" s="149"/>
      <c r="U116" s="144">
        <f t="shared" si="0"/>
        <v>0</v>
      </c>
      <c r="V116" s="144">
        <f t="shared" si="1"/>
        <v>0</v>
      </c>
      <c r="W116" s="146"/>
      <c r="X116" s="144"/>
      <c r="Y116" s="145"/>
      <c r="Z116" s="144"/>
      <c r="AA116" s="150"/>
      <c r="AB116" s="145"/>
      <c r="AC116" s="144"/>
      <c r="AD116" s="144"/>
      <c r="AE116" s="154"/>
      <c r="AF116" s="152"/>
    </row>
    <row r="117" s="10" customFormat="1" ht="14.15" customHeight="1" spans="1:32">
      <c r="A117" s="144" t="s">
        <v>308</v>
      </c>
      <c r="B117" s="144" t="s">
        <v>309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310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311</v>
      </c>
      <c r="P117" s="144"/>
      <c r="Q117" s="144"/>
      <c r="R117" s="148"/>
      <c r="S117" s="149" t="s">
        <v>312</v>
      </c>
      <c r="T117" s="149"/>
      <c r="U117" s="144">
        <f t="shared" si="0"/>
        <v>0</v>
      </c>
      <c r="V117" s="144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0">
        <v>170</v>
      </c>
      <c r="AB117" s="145">
        <f>115/Z117</f>
        <v>0.676470588235294</v>
      </c>
      <c r="AC117" s="144">
        <v>20</v>
      </c>
      <c r="AD117" s="144">
        <v>0</v>
      </c>
      <c r="AE117" s="151" t="s">
        <v>199</v>
      </c>
      <c r="AF117" s="152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313</v>
      </c>
      <c r="P118" s="144"/>
      <c r="Q118" s="144"/>
      <c r="R118" s="148"/>
      <c r="S118" s="149" t="s">
        <v>314</v>
      </c>
      <c r="T118" s="149"/>
      <c r="U118" s="144">
        <f t="shared" si="0"/>
        <v>0</v>
      </c>
      <c r="V118" s="144">
        <f t="shared" si="1"/>
        <v>0</v>
      </c>
      <c r="W118" s="146"/>
      <c r="X118" s="144"/>
      <c r="Y118" s="145"/>
      <c r="Z118" s="144"/>
      <c r="AA118" s="150"/>
      <c r="AB118" s="145"/>
      <c r="AC118" s="144"/>
      <c r="AD118" s="144"/>
      <c r="AE118" s="153"/>
      <c r="AF118" s="152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315</v>
      </c>
      <c r="P119" s="144"/>
      <c r="Q119" s="144"/>
      <c r="R119" s="148"/>
      <c r="S119" s="149" t="s">
        <v>316</v>
      </c>
      <c r="T119" s="149"/>
      <c r="U119" s="144">
        <f t="shared" si="0"/>
        <v>0</v>
      </c>
      <c r="V119" s="144">
        <f t="shared" si="1"/>
        <v>0</v>
      </c>
      <c r="W119" s="146"/>
      <c r="X119" s="144"/>
      <c r="Y119" s="145"/>
      <c r="Z119" s="144"/>
      <c r="AA119" s="150"/>
      <c r="AB119" s="145"/>
      <c r="AC119" s="144"/>
      <c r="AD119" s="144"/>
      <c r="AE119" s="154"/>
      <c r="AF119" s="152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317</v>
      </c>
      <c r="P120" s="144"/>
      <c r="Q120" s="144"/>
      <c r="R120" s="148"/>
      <c r="S120" s="149" t="s">
        <v>318</v>
      </c>
      <c r="T120" s="149"/>
      <c r="U120" s="144">
        <f t="shared" si="0"/>
        <v>0</v>
      </c>
      <c r="V120" s="144">
        <f t="shared" si="1"/>
        <v>0</v>
      </c>
      <c r="W120" s="146"/>
      <c r="X120" s="144"/>
      <c r="Y120" s="145"/>
      <c r="Z120" s="144"/>
      <c r="AA120" s="150"/>
      <c r="AB120" s="145"/>
      <c r="AC120" s="144"/>
      <c r="AD120" s="144"/>
      <c r="AE120" s="151"/>
      <c r="AF120" s="152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319</v>
      </c>
      <c r="P121" s="144"/>
      <c r="Q121" s="144"/>
      <c r="R121" s="148"/>
      <c r="S121" s="149" t="s">
        <v>320</v>
      </c>
      <c r="T121" s="149"/>
      <c r="U121" s="144">
        <f t="shared" si="0"/>
        <v>0</v>
      </c>
      <c r="V121" s="144">
        <f t="shared" si="1"/>
        <v>0</v>
      </c>
      <c r="W121" s="146"/>
      <c r="X121" s="144"/>
      <c r="Y121" s="145"/>
      <c r="Z121" s="144"/>
      <c r="AA121" s="150"/>
      <c r="AB121" s="145"/>
      <c r="AC121" s="144"/>
      <c r="AD121" s="144"/>
      <c r="AE121" s="154"/>
      <c r="AF121" s="152"/>
    </row>
    <row r="122" s="10" customFormat="1" ht="14.15" customHeight="1" spans="1:32">
      <c r="A122" s="144"/>
      <c r="B122" s="144" t="s">
        <v>321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322</v>
      </c>
      <c r="P122" s="144"/>
      <c r="Q122" s="144"/>
      <c r="R122" s="148"/>
      <c r="S122" s="149" t="s">
        <v>323</v>
      </c>
      <c r="T122" s="149"/>
      <c r="U122" s="144">
        <f t="shared" si="0"/>
        <v>0</v>
      </c>
      <c r="V122" s="144">
        <f t="shared" si="1"/>
        <v>0</v>
      </c>
      <c r="W122" s="146"/>
      <c r="X122" s="144"/>
      <c r="Y122" s="145"/>
      <c r="Z122" s="144"/>
      <c r="AA122" s="150"/>
      <c r="AB122" s="145"/>
      <c r="AC122" s="144"/>
      <c r="AD122" s="144"/>
      <c r="AE122" s="151" t="s">
        <v>211</v>
      </c>
      <c r="AF122" s="152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324</v>
      </c>
      <c r="P123" s="144"/>
      <c r="Q123" s="144"/>
      <c r="R123" s="148"/>
      <c r="S123" s="149" t="s">
        <v>325</v>
      </c>
      <c r="T123" s="149"/>
      <c r="U123" s="144">
        <f t="shared" si="0"/>
        <v>0</v>
      </c>
      <c r="V123" s="144">
        <f t="shared" si="1"/>
        <v>0</v>
      </c>
      <c r="W123" s="146"/>
      <c r="X123" s="144"/>
      <c r="Y123" s="145"/>
      <c r="Z123" s="144"/>
      <c r="AA123" s="150"/>
      <c r="AB123" s="145"/>
      <c r="AC123" s="144"/>
      <c r="AD123" s="144"/>
      <c r="AE123" s="153"/>
      <c r="AF123" s="152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326</v>
      </c>
      <c r="P124" s="144"/>
      <c r="Q124" s="144"/>
      <c r="R124" s="148"/>
      <c r="S124" s="149" t="s">
        <v>327</v>
      </c>
      <c r="T124" s="149"/>
      <c r="U124" s="144">
        <f t="shared" si="0"/>
        <v>0</v>
      </c>
      <c r="V124" s="144">
        <f t="shared" si="1"/>
        <v>0</v>
      </c>
      <c r="W124" s="146"/>
      <c r="X124" s="144"/>
      <c r="Y124" s="145"/>
      <c r="Z124" s="144"/>
      <c r="AA124" s="150"/>
      <c r="AB124" s="145"/>
      <c r="AC124" s="144"/>
      <c r="AD124" s="144"/>
      <c r="AE124" s="154"/>
      <c r="AF124" s="152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328</v>
      </c>
      <c r="P125" s="144"/>
      <c r="Q125" s="144"/>
      <c r="R125" s="148"/>
      <c r="S125" s="149" t="s">
        <v>329</v>
      </c>
      <c r="T125" s="149"/>
      <c r="U125" s="144">
        <f t="shared" si="0"/>
        <v>0</v>
      </c>
      <c r="V125" s="144">
        <f t="shared" si="1"/>
        <v>0</v>
      </c>
      <c r="W125" s="146"/>
      <c r="X125" s="144"/>
      <c r="Y125" s="145"/>
      <c r="Z125" s="144"/>
      <c r="AA125" s="150"/>
      <c r="AB125" s="145"/>
      <c r="AC125" s="144"/>
      <c r="AD125" s="144"/>
      <c r="AE125" s="151"/>
      <c r="AF125" s="152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330</v>
      </c>
      <c r="P126" s="144"/>
      <c r="Q126" s="144"/>
      <c r="R126" s="148"/>
      <c r="S126" s="149" t="s">
        <v>331</v>
      </c>
      <c r="T126" s="149"/>
      <c r="U126" s="144">
        <f t="shared" si="0"/>
        <v>0</v>
      </c>
      <c r="V126" s="144">
        <f t="shared" si="1"/>
        <v>0</v>
      </c>
      <c r="W126" s="146"/>
      <c r="X126" s="144"/>
      <c r="Y126" s="145"/>
      <c r="Z126" s="144"/>
      <c r="AA126" s="150"/>
      <c r="AB126" s="145"/>
      <c r="AC126" s="144"/>
      <c r="AD126" s="144"/>
      <c r="AE126" s="154"/>
      <c r="AF126" s="152"/>
    </row>
    <row r="127" s="10" customFormat="1" ht="14.15" customHeight="1" spans="1:32">
      <c r="A127" s="144" t="s">
        <v>332</v>
      </c>
      <c r="B127" s="144" t="s">
        <v>333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334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335</v>
      </c>
      <c r="P127" s="144"/>
      <c r="Q127" s="144"/>
      <c r="R127" s="148"/>
      <c r="S127" s="149" t="s">
        <v>336</v>
      </c>
      <c r="T127" s="149"/>
      <c r="U127" s="144">
        <f t="shared" si="0"/>
        <v>0</v>
      </c>
      <c r="V127" s="144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0">
        <v>170</v>
      </c>
      <c r="AB127" s="145">
        <f>125/Z127</f>
        <v>0.735294117647059</v>
      </c>
      <c r="AC127" s="144">
        <v>20</v>
      </c>
      <c r="AD127" s="144">
        <v>0</v>
      </c>
      <c r="AE127" s="151" t="s">
        <v>199</v>
      </c>
      <c r="AF127" s="152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337</v>
      </c>
      <c r="P128" s="144"/>
      <c r="Q128" s="144"/>
      <c r="R128" s="148"/>
      <c r="S128" s="149" t="s">
        <v>338</v>
      </c>
      <c r="T128" s="149"/>
      <c r="U128" s="144">
        <f t="shared" si="0"/>
        <v>0</v>
      </c>
      <c r="V128" s="144">
        <f t="shared" si="1"/>
        <v>0</v>
      </c>
      <c r="W128" s="146"/>
      <c r="X128" s="144"/>
      <c r="Y128" s="145"/>
      <c r="Z128" s="144"/>
      <c r="AA128" s="150"/>
      <c r="AB128" s="145"/>
      <c r="AC128" s="144"/>
      <c r="AD128" s="144"/>
      <c r="AE128" s="153"/>
      <c r="AF128" s="152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339</v>
      </c>
      <c r="P129" s="144"/>
      <c r="Q129" s="144"/>
      <c r="R129" s="148"/>
      <c r="S129" s="149" t="s">
        <v>340</v>
      </c>
      <c r="T129" s="149"/>
      <c r="U129" s="144">
        <f t="shared" si="0"/>
        <v>0</v>
      </c>
      <c r="V129" s="144">
        <f t="shared" si="1"/>
        <v>0</v>
      </c>
      <c r="W129" s="146"/>
      <c r="X129" s="144"/>
      <c r="Y129" s="145"/>
      <c r="Z129" s="144"/>
      <c r="AA129" s="150"/>
      <c r="AB129" s="145"/>
      <c r="AC129" s="144"/>
      <c r="AD129" s="144"/>
      <c r="AE129" s="154"/>
      <c r="AF129" s="152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341</v>
      </c>
      <c r="P130" s="144"/>
      <c r="Q130" s="144"/>
      <c r="R130" s="148"/>
      <c r="S130" s="149" t="s">
        <v>342</v>
      </c>
      <c r="T130" s="149"/>
      <c r="U130" s="144">
        <f t="shared" si="0"/>
        <v>0</v>
      </c>
      <c r="V130" s="144">
        <f t="shared" si="1"/>
        <v>0</v>
      </c>
      <c r="W130" s="146"/>
      <c r="X130" s="144"/>
      <c r="Y130" s="145"/>
      <c r="Z130" s="144"/>
      <c r="AA130" s="150"/>
      <c r="AB130" s="145"/>
      <c r="AC130" s="144"/>
      <c r="AD130" s="144"/>
      <c r="AE130" s="151"/>
      <c r="AF130" s="152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343</v>
      </c>
      <c r="P131" s="144"/>
      <c r="Q131" s="144"/>
      <c r="R131" s="148"/>
      <c r="S131" s="149" t="s">
        <v>344</v>
      </c>
      <c r="T131" s="149"/>
      <c r="U131" s="144">
        <f t="shared" si="0"/>
        <v>0</v>
      </c>
      <c r="V131" s="144">
        <f t="shared" si="1"/>
        <v>0</v>
      </c>
      <c r="W131" s="146"/>
      <c r="X131" s="144"/>
      <c r="Y131" s="145"/>
      <c r="Z131" s="144"/>
      <c r="AA131" s="150"/>
      <c r="AB131" s="145"/>
      <c r="AC131" s="144"/>
      <c r="AD131" s="144"/>
      <c r="AE131" s="154"/>
      <c r="AF131" s="152"/>
    </row>
    <row r="132" s="10" customFormat="1" ht="14.15" customHeight="1" spans="1:32">
      <c r="A132" s="144"/>
      <c r="B132" s="144" t="s">
        <v>345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346</v>
      </c>
      <c r="P132" s="144"/>
      <c r="Q132" s="144"/>
      <c r="R132" s="148"/>
      <c r="S132" s="149" t="s">
        <v>347</v>
      </c>
      <c r="T132" s="149"/>
      <c r="U132" s="144">
        <f t="shared" si="0"/>
        <v>0</v>
      </c>
      <c r="V132" s="144">
        <f t="shared" si="1"/>
        <v>0</v>
      </c>
      <c r="W132" s="146"/>
      <c r="X132" s="144"/>
      <c r="Y132" s="145"/>
      <c r="Z132" s="144"/>
      <c r="AA132" s="150"/>
      <c r="AB132" s="145"/>
      <c r="AC132" s="144"/>
      <c r="AD132" s="144"/>
      <c r="AE132" s="151" t="s">
        <v>211</v>
      </c>
      <c r="AF132" s="152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348</v>
      </c>
      <c r="P133" s="144"/>
      <c r="Q133" s="144"/>
      <c r="R133" s="148"/>
      <c r="S133" s="149" t="s">
        <v>349</v>
      </c>
      <c r="T133" s="149"/>
      <c r="U133" s="144">
        <f t="shared" ref="U133:U136" si="2">R133*0.935</f>
        <v>0</v>
      </c>
      <c r="V133" s="144">
        <f t="shared" ref="V133:V136" si="3">U133/215</f>
        <v>0</v>
      </c>
      <c r="W133" s="146"/>
      <c r="X133" s="144"/>
      <c r="Y133" s="145"/>
      <c r="Z133" s="144"/>
      <c r="AA133" s="150"/>
      <c r="AB133" s="145"/>
      <c r="AC133" s="144"/>
      <c r="AD133" s="144"/>
      <c r="AE133" s="153"/>
      <c r="AF133" s="152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350</v>
      </c>
      <c r="P134" s="144"/>
      <c r="Q134" s="144"/>
      <c r="R134" s="148"/>
      <c r="S134" s="149" t="s">
        <v>351</v>
      </c>
      <c r="T134" s="149"/>
      <c r="U134" s="144">
        <f t="shared" si="2"/>
        <v>0</v>
      </c>
      <c r="V134" s="144">
        <f t="shared" si="3"/>
        <v>0</v>
      </c>
      <c r="W134" s="146"/>
      <c r="X134" s="144"/>
      <c r="Y134" s="145"/>
      <c r="Z134" s="144"/>
      <c r="AA134" s="150"/>
      <c r="AB134" s="145"/>
      <c r="AC134" s="144"/>
      <c r="AD134" s="144"/>
      <c r="AE134" s="154"/>
      <c r="AF134" s="152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352</v>
      </c>
      <c r="P135" s="144"/>
      <c r="Q135" s="144"/>
      <c r="R135" s="148"/>
      <c r="S135" s="149" t="s">
        <v>353</v>
      </c>
      <c r="T135" s="149"/>
      <c r="U135" s="144">
        <f t="shared" si="2"/>
        <v>0</v>
      </c>
      <c r="V135" s="144">
        <f t="shared" si="3"/>
        <v>0</v>
      </c>
      <c r="W135" s="146"/>
      <c r="X135" s="144"/>
      <c r="Y135" s="145"/>
      <c r="Z135" s="144"/>
      <c r="AA135" s="150"/>
      <c r="AB135" s="145"/>
      <c r="AC135" s="144"/>
      <c r="AD135" s="144"/>
      <c r="AE135" s="151"/>
      <c r="AF135" s="152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354</v>
      </c>
      <c r="P136" s="144"/>
      <c r="Q136" s="144"/>
      <c r="R136" s="148"/>
      <c r="S136" s="149" t="s">
        <v>355</v>
      </c>
      <c r="T136" s="149"/>
      <c r="U136" s="144">
        <f t="shared" si="2"/>
        <v>0</v>
      </c>
      <c r="V136" s="144">
        <f t="shared" si="3"/>
        <v>0</v>
      </c>
      <c r="W136" s="146"/>
      <c r="X136" s="144"/>
      <c r="Y136" s="145"/>
      <c r="Z136" s="144"/>
      <c r="AA136" s="150"/>
      <c r="AB136" s="145"/>
      <c r="AC136" s="144"/>
      <c r="AD136" s="144"/>
      <c r="AE136" s="154"/>
      <c r="AF136" s="152"/>
    </row>
    <row r="137" s="10" customFormat="1" ht="16.5" customHeight="1" spans="1:32">
      <c r="A137" s="144" t="s">
        <v>356</v>
      </c>
      <c r="B137" s="144" t="s">
        <v>357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358</v>
      </c>
      <c r="J137" s="157"/>
      <c r="K137" s="145">
        <f>J137/300</f>
        <v>0</v>
      </c>
      <c r="L137" s="144" t="s">
        <v>194</v>
      </c>
      <c r="M137" s="144"/>
      <c r="N137" s="144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7"/>
      <c r="K138" s="145"/>
      <c r="L138" s="144"/>
      <c r="M138" s="144"/>
      <c r="N138" s="144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7"/>
      <c r="K139" s="145"/>
      <c r="L139" s="144"/>
      <c r="M139" s="144"/>
      <c r="N139" s="144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7"/>
      <c r="K140" s="145"/>
      <c r="L140" s="144"/>
      <c r="M140" s="144"/>
      <c r="N140" s="144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7"/>
      <c r="K141" s="145"/>
      <c r="L141" s="144"/>
      <c r="M141" s="144"/>
      <c r="N141" s="144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 s="10" customFormat="1" ht="16.5" customHeight="1" spans="1:32">
      <c r="A142" s="144"/>
      <c r="B142" s="144" t="s">
        <v>359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360</v>
      </c>
      <c r="J142" s="144"/>
      <c r="K142" s="145">
        <f>J142/400</f>
        <v>0</v>
      </c>
      <c r="L142" s="144"/>
      <c r="M142" s="144"/>
      <c r="N142" s="144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 s="10" customFormat="1" ht="16.5" customHeight="1" spans="1:32">
      <c r="A147" s="144" t="s">
        <v>361</v>
      </c>
      <c r="B147" s="144" t="s">
        <v>362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363</v>
      </c>
      <c r="J147" s="144"/>
      <c r="K147" s="145">
        <f>J147/300</f>
        <v>0</v>
      </c>
      <c r="L147" s="144" t="s">
        <v>194</v>
      </c>
      <c r="M147" s="144"/>
      <c r="N147" s="144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 s="10" customFormat="1" ht="16.5" customHeight="1" spans="1:32">
      <c r="A152" s="144"/>
      <c r="B152" s="144" t="s">
        <v>364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365</v>
      </c>
      <c r="J152" s="144"/>
      <c r="K152" s="145">
        <f>J152/400</f>
        <v>0</v>
      </c>
      <c r="L152" s="144"/>
      <c r="M152" s="144"/>
      <c r="N152" s="144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{1da3db35-e0de-4637-8cac-3c85e7214f3c}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{474b9d92-1ffe-4115-82c8-ec6b40fcd5a4}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{e0ce3279-baf1-47aa-91c5-0b8563f222a0}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{1e5930d1-e00e-452d-8fa3-dae07de9dcf7}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{eeccbae5-276b-43f8-a71f-e2eb915fb9bc}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{556339b3-d1ef-439b-99d2-f8eb96afb18e}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{2db46e07-ff34-4840-bd4a-135b2336675c}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{6521ab67-9f01-402a-97c0-0d915b92a321}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{9faa95e9-88d2-4727-86b2-0fb536804f95}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{2587a784-9c20-4dcb-b833-c69f805759f0}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{43d832dc-c892-4954-b2c1-6b501a9267f2}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{af39b56f-c4b5-4572-9790-21a3c54b81c8}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{0bcb0cd1-0bdc-477e-8a9b-33867e2f0fba}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{8bdadc4f-6d93-4c45-a48d-c2869299329c}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{673e544d-8894-4fc3-a197-f35ea33dc948}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{4d377490-d59b-4332-af3f-da73565f9d87}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{9dcc16f2-2563-4136-b255-ead55e4f64df}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{20836c02-3095-4d39-b1e0-cbdfdf20850f}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{3a9c2586-9524-48e6-b4e3-e4793ca77f19}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{9194b549-efb1-4449-8d2a-c19c0fa1a603}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{ec5fd816-b684-416b-b8d0-bcd438e0e1cd}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{ae1c7fdc-3583-43fe-a643-40fcee8d880d}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{b7d0c8ad-79d9-485d-96f2-c0fd547b5797}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{dbffe5e6-9a99-4713-b84b-224185c9bea5}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{c9836aef-56e4-4308-aa81-4975bc28c8aa}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{4f03b995-96e3-4cad-86b1-a19d196d956f}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{e66765d7-fd81-4ca0-b791-0b4e4f821316}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{e943295f-0c7a-4057-a716-fca669db8cbd}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{b65dda20-f4b3-4ddd-b307-2c4e8621ba90}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{87673fc6-aff5-4cd5-8937-8ebfa3b25ac8}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{7702302b-a4f7-4023-b972-1e591c44c741}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{db276c26-b88a-45f5-ae0f-f8699e86348f}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{332a349c-ba9c-44ae-b309-36f044f3b59c}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{0ff3786b-d8c8-466d-b37f-be6e728b64cb}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{85162bb4-1156-41df-a6a1-5a9b7fd44c51}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{e9dadf45-3852-4644-8175-f3d774c883b1}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{f92c8313-2d16-483a-b750-c5f8bde29a51}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{1354f2bd-ed6f-48c6-9b32-1c63461643bf}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{751d7f5b-ee3b-4eac-8d8d-f5629105a874}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{efea9994-7ebf-4f3b-afdf-4be1f3d3c3bb}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{9a7b94d4-0abe-4442-a079-80e6113e65aa}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{d2723b4a-e9c7-4284-bf96-1b02f99c9f40}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{d0a9292a-cf53-466d-bb98-84a6b079abac}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{656d8af9-a1a7-4187-b1ca-6f9fc987f9e3}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{d848efc1-5079-431c-b889-11c2b8128978}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{d6c1169e-903a-4a43-b569-024053012600}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{09202eaf-4698-468c-b0f4-4f7934a661c6}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{cbb49d92-2bfe-4d5b-94d8-5e669449f4d4}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{50ddb17c-8b0b-489d-b05a-8b6ed8eadc39}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{793ff324-a580-4faf-b775-ce2a0a32f947}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{795875a8-2197-4ea1-a2db-68f8b88009a5}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{6b838c8f-79f2-48a1-994c-879afe768f49}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{e6e7d347-d4d0-4fe8-864c-ca973fface99}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{945f2514-266e-4714-ae41-19452013187f}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{49f721c3-43e3-42d6-88a4-6922da978388}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{775eeb1e-986d-4170-b7e9-1b7dbd146952}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{f3da6d2c-0058-49f7-891b-958eb706ca40}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{e669da9d-968a-4cb7-a0f8-de24d8b7204b}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{73d7254b-8e4f-4eaa-910a-63b1cb687810}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{35190ae1-ddc7-4c8d-8458-af532f2cde6f}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{06b69c74-1b95-4997-b297-1f7cc576c3e6}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{436a0d13-61f0-4be0-b5aa-22fc6eb8e6c1}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{706a3fcb-1d85-40b2-898e-fd06f3e2bcf0}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{231ca8ec-2eb4-4352-8e09-8a12a66c054f}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{4e6d922e-0e9d-4bae-a172-645d781604e1}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{c1437ea7-ec3a-48d8-873a-390dba8d7244}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{c62a4a68-77e7-47b2-bf65-44fdcb3a6ba9}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{308aaaf8-de3d-491d-8809-f9390adcd150}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{6e9531bb-ec62-46ba-9bfa-658ad9e5b0bb}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{4e0640a1-c697-4278-bd18-3640b683175e}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{1dea3367-eacb-49a0-83c2-c9f651a841bf}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{b557506d-2332-4c67-912e-e6bdae802d34}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{50feb3ad-3624-4d68-b2ee-b8b2446f41b8}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{a4bf74ed-cbfa-4b68-b0d5-d7975c80e69d}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{e73e25a9-b3d3-4109-adcd-318d50948973}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{be8ac6ba-d692-4685-948d-8b2b4c46042b}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{2274d0da-65c8-4d66-930f-fc62421f30ed}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{cd557e40-4a23-4200-852a-f07214b169e1}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{cbb84d30-4e47-4591-83dd-f60f47757922}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{63a08510-99d1-455f-9ac2-933b5d813967}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{3e43d9ad-f536-4b93-be9d-40b883fd13d0}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{5f9bcfac-43de-4c82-983b-df2034727220}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{8ac50690-eb3e-436a-bb90-364a1ef77013}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{8d01d611-0c1a-4df7-99bf-9a4f7500aa65}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{06bc5bb0-3a29-4b18-bc3a-64698600c1fe}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{5902d624-66be-4b22-937f-1f9ac871a476}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{9141eac8-21c4-45ec-88df-70bc8ffe0dba}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{9e9d23a1-8322-4080-aa88-9e8d6e6e8ddf}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{e9fcbe0b-2a6f-4291-bb5d-999e5c13b8c6}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{02498975-8e3b-4555-8b2a-27d512282a33}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{f22738fc-b7a1-4b66-ac0a-2df173d21147}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{9fc64bf2-4283-4e67-acbc-a6cd9b17cd1d}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{91f69053-db54-4ce6-8ec5-ff34b0c6a9de}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{2ccd3aa7-106f-4180-9e53-76f7f699ec68}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{25470856-6f23-4593-8ec4-f86affb01ee0}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{0839ac72-afc6-4229-9e68-09b9356349d3}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{e37b83ed-9c68-45e0-b4eb-444c9bc888b3}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{00cfb6ef-13e0-4395-b33b-0513f6ae6320}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{86936f7d-2a48-4bd5-9abe-940fc10c68a4}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{8378c0a3-1189-4703-9bb8-28d85b14e686}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{dcbe0761-6206-4cad-b35b-c7883721cdc1}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{5ae50ee2-7ea8-4cd9-a668-736ace3fd960}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{8a42bb25-8a8a-4eb1-b363-b34dae49c8e9}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{c909e2ce-ba4f-4b08-8248-09e330ec0f70}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{81ecb00b-3b42-40b9-acb8-8ba0f5c396b7}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{dc34360e-ce4c-4a57-8132-20b34c230b4c}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{74322a95-9f58-4b91-82df-432823bc7208}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51:B51 A11:B18 A20:B48 A49:B50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a3db35-e0de-4637-8cac-3c85e7214f3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74b9d92-1ffe-4115-82c8-ec6b40fcd5a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0ce3279-baf1-47aa-91c5-0b8563f222a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e5930d1-e00e-452d-8fa3-dae07de9dcf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eccbae5-276b-43f8-a71f-e2eb915fb9b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56339b3-d1ef-439b-99d2-f8eb96afb18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db46e07-ff34-4840-bd4a-135b2336675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521ab67-9f01-402a-97c0-0d915b92a32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9faa95e9-88d2-4727-86b2-0fb536804f9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87a784-9c20-4dcb-b833-c69f805759f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3d832dc-c892-4954-b2c1-6b501a9267f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f39b56f-c4b5-4572-9790-21a3c54b81c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bcb0cd1-0bdc-477e-8a9b-33867e2f0fb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bdadc4f-6d93-4c45-a48d-c2869299329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73e544d-8894-4fc3-a197-f35ea33dc94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d377490-d59b-4332-af3f-da73565f9d8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9dcc16f2-2563-4136-b255-ead55e4f64d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0836c02-3095-4d39-b1e0-cbdfdf20850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a9c2586-9524-48e6-b4e3-e4793ca77f1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194b549-efb1-4449-8d2a-c19c0fa1a60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c5fd816-b684-416b-b8d0-bcd438e0e1cd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e1c7fdc-3583-43fe-a643-40fcee8d880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7d0c8ad-79d9-485d-96f2-c0fd547b579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bffe5e6-9a99-4713-b84b-224185c9bea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c9836aef-56e4-4308-aa81-4975bc28c8a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f03b995-96e3-4cad-86b1-a19d196d956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66765d7-fd81-4ca0-b791-0b4e4f82131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943295f-0c7a-4057-a716-fca669db8cb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65dda20-f4b3-4ddd-b307-2c4e8621ba9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7673fc6-aff5-4cd5-8937-8ebfa3b25ac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702302b-a4f7-4023-b972-1e591c44c74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b276c26-b88a-45f5-ae0f-f8699e86348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332a349c-ba9c-44ae-b309-36f044f3b59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ff3786b-d8c8-466d-b37f-be6e728b64c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5162bb4-1156-41df-a6a1-5a9b7fd44c5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9dadf45-3852-4644-8175-f3d774c883b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92c8313-2d16-483a-b750-c5f8bde29a5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354f2bd-ed6f-48c6-9b32-1c63461643b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51d7f5b-ee3b-4eac-8d8d-f5629105a87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fea9994-7ebf-4f3b-afdf-4be1f3d3c3b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9a7b94d4-0abe-4442-a079-80e6113e65a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2723b4a-e9c7-4284-bf96-1b02f99c9f4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0a9292a-cf53-466d-bb98-84a6b079abac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56d8af9-a1a7-4187-b1ca-6f9fc987f9e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848efc1-5079-431c-b889-11c2b812897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6c1169e-903a-4a43-b569-02405301260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9202eaf-4698-468c-b0f4-4f7934a661c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bb49d92-2bfe-4d5b-94d8-5e669449f4d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50ddb17c-8b0b-489d-b05a-8b6ed8eadc3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3ff324-a580-4faf-b775-ce2a0a32f94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95875a8-2197-4ea1-a2db-68f8b88009a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6b838c8f-79f2-48a1-994c-879afe768f4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e7d347-d4d0-4fe8-864c-ca973fface9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45f2514-266e-4714-ae41-19452013187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49f721c3-43e3-42d6-88a4-6922da97838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75eeb1e-986d-4170-b7e9-1b7dbd14695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f3da6d2c-0058-49f7-891b-958eb706ca4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69da9d-968a-4cb7-a0f8-de24d8b7204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3d7254b-8e4f-4eaa-910a-63b1cb68781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35190ae1-ddc7-4c8d-8458-af532f2cde6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b69c74-1b95-4997-b297-1f7cc576c3e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36a0d13-61f0-4be0-b5aa-22fc6eb8e6c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706a3fcb-1d85-40b2-898e-fd06f3e2bcf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1ca8ec-2eb4-4352-8e09-8a12a66c054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e6d922e-0e9d-4bae-a172-645d781604e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c1437ea7-ec3a-48d8-873a-390dba8d724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2a4a68-77e7-47b2-bf65-44fdcb3a6ba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8aaaf8-de3d-491d-8809-f9390adcd15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6e9531bb-ec62-46ba-9bfa-658ad9e5b0b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0640a1-c697-4278-bd18-3640b683175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dea3367-eacb-49a0-83c2-c9f651a841b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b557506d-2332-4c67-912e-e6bdae802d3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0feb3ad-3624-4d68-b2ee-b8b2446f41b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4bf74ed-cbfa-4b68-b0d5-d7975c80e69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73e25a9-b3d3-4109-adcd-318d5094897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e8ac6ba-d692-4685-948d-8b2b4c46042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274d0da-65c8-4d66-930f-fc62421f30e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d557e40-4a23-4200-852a-f07214b169e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bb84d30-4e47-4591-83dd-f60f4775792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63a08510-99d1-455f-9ac2-933b5d81396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43d9ad-f536-4b93-be9d-40b883fd13d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5f9bcfac-43de-4c82-983b-df203472722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8ac50690-eb3e-436a-bb90-364a1ef7701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8d01d611-0c1a-4df7-99bf-9a4f7500aa6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06bc5bb0-3a29-4b18-bc3a-64698600c1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5902d624-66be-4b22-937f-1f9ac871a47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41eac8-21c4-45ec-88df-70bc8ffe0db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e9d23a1-8322-4080-aa88-9e8d6e6e8dd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e9fcbe0b-2a6f-4291-bb5d-999e5c13b8c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498975-8e3b-4555-8b2a-27d512282a3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22738fc-b7a1-4b66-ac0a-2df173d2114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9fc64bf2-4283-4e67-acbc-a6cd9b17cd1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f69053-db54-4ce6-8ec5-ff34b0c6a9d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ccd3aa7-106f-4180-9e53-76f7f699ec6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25470856-6f23-4593-8ec4-f86affb01ee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39ac72-afc6-4229-9e68-09b9356349d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7b83ed-9c68-45e0-b4eb-444c9bc888b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00cfb6ef-13e0-4395-b33b-0513f6ae632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936f7d-2a48-4bd5-9abe-940fc10c68a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8378c0a3-1189-4703-9bb8-28d85b14e68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be0761-6206-4cad-b35b-c7883721cdc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ae50ee2-7ea8-4cd9-a668-736ace3fd96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8a42bb25-8a8a-4eb1-b363-b34dae49c8e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09e2ce-ba4f-4b08-8248-09e330ec0f7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1ecb00b-3b42-40b9-acb8-8ba0f5c396b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dc34360e-ce4c-4a57-8132-20b34c230b4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322a95-9f58-4b91-82df-432823bc720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366</v>
      </c>
      <c r="B1" s="3" t="s">
        <v>367</v>
      </c>
      <c r="C1" s="3" t="s">
        <v>368</v>
      </c>
      <c r="D1" s="3" t="s">
        <v>369</v>
      </c>
      <c r="E1" s="3" t="s">
        <v>370</v>
      </c>
      <c r="F1" s="3" t="s">
        <v>371</v>
      </c>
      <c r="G1" s="3" t="s">
        <v>372</v>
      </c>
      <c r="H1" s="3" t="s">
        <v>373</v>
      </c>
      <c r="I1" s="3" t="s">
        <v>374</v>
      </c>
      <c r="J1" s="3" t="s">
        <v>375</v>
      </c>
      <c r="K1" s="3" t="s">
        <v>376</v>
      </c>
      <c r="L1" s="3" t="s">
        <v>377</v>
      </c>
      <c r="M1" s="3" t="s">
        <v>378</v>
      </c>
      <c r="N1" s="3" t="s">
        <v>379</v>
      </c>
      <c r="O1" s="3" t="s">
        <v>380</v>
      </c>
      <c r="P1" s="3" t="s">
        <v>381</v>
      </c>
      <c r="Q1" s="3" t="s">
        <v>382</v>
      </c>
      <c r="R1" s="3" t="s">
        <v>383</v>
      </c>
    </row>
    <row r="2" spans="1:18">
      <c r="A2" s="3" t="s">
        <v>384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385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386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387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2026-05-14T00:40:05Z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