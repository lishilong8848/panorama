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<sst xmlns="http://schemas.openxmlformats.org/spreadsheetml/2006/main" count="709" uniqueCount="389">
  <si>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</si>
  <si>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</si>
  <si>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</si>
  <si>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</si>
  <si>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</si>
  <si>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</si>
  <si>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</si>
  <si>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</si>
  <si>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</si>
  <si>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</si>
  <si>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</si>
  <si>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</si>
  <si>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</si>
  <si>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</si>
  <si>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</si>
  <si>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</si>
  <si>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</si>
  <si>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</si>
  <si>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</si>
  <si>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</si>
  <si>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</si>
  <si>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</si>
  <si>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</si>
  <si>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</si>
  <si>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</si>
  <si>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</si>
  <si>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</si>
  <si>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</si>
  <si>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</si>
  <si>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</si>
  <si>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</si>
  <si>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</si>
  <si>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</si>
  <si>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</si>
  <si>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</si>
  <si>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</si>
  <si>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</si>
  <si>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</si>
  <si>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</si>
  <si>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</si>
  <si>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</si>
  <si>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</si>
  <si>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</si>
  <si>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</si>
  <si>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</si>
  <si>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</si>
  <si>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</si>
  <si>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</si>
  <si>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</si>
  <si>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</si>
  <si>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</si>
  <si>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</si>
  <si>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</si>
  <si>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</si>
  <si>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</si>
  <si>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</si>
  <si>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</si>
  <si>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</si>
  <si>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</si>
  <si>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</si>
  <si>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</si>
  <si>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</si>
  <si>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</si>
  <si>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</si>
  <si>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</si>
  <si>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</si>
  <si>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</si>
  <si>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</si>
  <si>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</si>
  <si>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</si>
  <si>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</si>
  <si>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</si>
  <si>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</si>
  <si>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</si>
  <si>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</si>
  <si>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</si>
  <si>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</si>
  <si>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</si>
  <si>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</si>
  <si>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</si>
  <si>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</si>
  <si>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</si>
  <si>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</si>
  <si>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</si>
  <si>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</si>
  <si>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</si>
  <si>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</si>
  <si>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</si>
  <si>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</si>
  <si>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</si>
  <si>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</si>
  <si>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</si>
  <si>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</si>
  <si>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</si>
  <si>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</si>
  <si>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</si>
  <si>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</si>
  <si>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</si>
  <si>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</si>
  <si>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</si>
  <si>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</si>
  <si>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</si>
  <si>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</si>
  <si>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</si>
  <si>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</si>
  <si>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</si>
  <si>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</si>
  <si>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</si>
  <si>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</si>
  <si>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</si>
  <si>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</si>
  <si>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</si>
  <si>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</si>
  <si>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</si>
  <si>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</si>
  <si>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</si>
  <si>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</si>
  <si>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</si>
  <si>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</si>
  <si>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</si>
  <si>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</si>
  <si>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</si>
  <si>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</si>
  <si>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</si>
  <si>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</si>
  <si>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</si>
  <si>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</si>
  <si>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</si>
  <si>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</si>
  <si>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</si>
  <si>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</si>
  <si>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</si>
  <si>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</si>
  <si>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</si>
  <si>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</si>
  <si>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</si>
  <si>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</si>
  <si>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</si>
  <si>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</si>
  <si>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</si>
  <si>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</si>
  <si>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</si>
  <si>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</si>
  <si>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</si>
  <si>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</si>
  <si>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</si>
  <si>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</si>
  <si>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</si>
  <si>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</si>
  <si>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</si>
  <si>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</si>
  <si>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</si>
  <si>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</si>
  <si>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</si>
  <si>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</si>
  <si>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</si>
  <si>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</si>
  <si>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</si>
  <si>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</si>
  <si>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</si>
  <si>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</si>
  <si>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</si>
  <si>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</si>
  <si>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</si>
  <si>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</si>
  <si>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</si>
  <si>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</si>
  <si>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</si>
  <si>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</si>
  <si>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</si>
  <si>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</si>
  <si>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</si>
  <si>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</si>
  <si>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</si>
  <si>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</si>
  <si>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</si>
  <si>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</si>
  <si>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</si>
  <si>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</si>
  <si>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</si>
  <si>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</si>
  <si>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</si>
  <si>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</si>
  <si>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</si>
  <si>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</si>
  <si>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</si>
  <si>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</si>
  <si>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</si>
  <si>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</si>
  <si>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</si>
  <si>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</si>
  <si>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</si>
  <si>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</si>
  <si>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</si>
  <si>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</si>
  <si>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</si>
  <si>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</si>
  <si>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</si>
  <si>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</si>
  <si>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-245-HVDC-121</t>
  </si>
  <si>
    <t>-202-RPP-DC-3</t>
  </si>
  <si>
    <t>-245-HVDC-131</t>
  </si>
  <si>
    <t>-202-RPP-DC-5</t>
  </si>
  <si>
    <t>-245-HVDC-141</t>
  </si>
  <si>
    <t>-202-RPP-DC-7</t>
  </si>
  <si>
    <t>南侧</t>
  </si>
  <si>
    <t xml:space="preserve"> -245-HVDC-151</t>
  </si>
  <si>
    <t>-202-RPP-DC-9</t>
  </si>
  <si>
    <t>-245-TR102</t>
  </si>
  <si>
    <t xml:space="preserve"> -245-HVDC-211</t>
  </si>
  <si>
    <t>-202-RPP-DC-2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</si>
  <si>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</si>
  <si>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</si>
  <si>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</si>
  <si>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</si>
  <si>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</si>
  <si>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</si>
  <si>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>北侧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</si>
  <si>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</si>
  <si>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</si>
  <si>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</si>
  <si>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</si>
  <si>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</si>
  <si>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</si>
  <si>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</si>
  <si>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>0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</si>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</sst>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60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70" zoomScaleNormal="85" topLeftCell="I22" workbookViewId="0">
      <selection activeCell="AC29" sqref="AC29:AE29"/>
    </sheetView>
  </sheetViews>
  <sheetFormatPr defaultColWidth="9" defaultRowHeight="14"/>
  <cols>
    <col min="2" max="2" width="18.1818181818182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38.1818181818182" style="1" customWidth="1"/>
    <col min="16" max="18" width="9" style="1" customWidth="1"/>
    <col min="19" max="19" width="12.5909090909091" style="1" customWidth="1"/>
    <col min="20" max="20" width="16.5090909090909" style="1" customWidth="1"/>
    <col min="21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7.4181818181818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 t="e">
        <f>(U13-U12)/U12</f>
        <v>#DIV/0!</v>
      </c>
      <c r="V14" s="69"/>
      <c r="W14" s="70"/>
      <c r="X14" s="68" t="e">
        <f>(X13-X12)/X12</f>
        <v>#DIV/0!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12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 t="e">
        <f>AC29/O59*24</f>
        <v>#DIV/0!</v>
      </c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 t="s">
        <v>15</v>
      </c>
      <c r="M25" s="84" t="s">
        <v>76</v>
      </c>
      <c r="N25" s="88" t="s">
        <v>15</v>
      </c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 t="s">
        <v>15</v>
      </c>
      <c r="Z25" s="84" t="s">
        <v>76</v>
      </c>
      <c r="AA25" s="88" t="s">
        <v>15</v>
      </c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 t="s">
        <v>15</v>
      </c>
      <c r="M26" s="84" t="s">
        <v>83</v>
      </c>
      <c r="N26" s="93">
        <f>I29</f>
        <v>0</v>
      </c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 t="s">
        <v>15</v>
      </c>
      <c r="Z26" s="84" t="s">
        <v>83</v>
      </c>
      <c r="AA26" s="93">
        <f>V29</f>
        <v>0</v>
      </c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>
        <v>18</v>
      </c>
      <c r="G28" s="15"/>
      <c r="H28" s="84" t="s">
        <v>87</v>
      </c>
      <c r="I28" s="100"/>
      <c r="J28" s="100"/>
      <c r="K28" s="84" t="s">
        <v>88</v>
      </c>
      <c r="L28" s="88" t="s">
        <v>15</v>
      </c>
      <c r="M28" s="84" t="s">
        <v>89</v>
      </c>
      <c r="N28" s="88" t="e">
        <f>N25-N26</f>
        <v>#VALUE!</v>
      </c>
      <c r="O28" s="55"/>
      <c r="P28" s="84" t="s">
        <v>85</v>
      </c>
      <c r="Q28" s="92" t="s">
        <v>15</v>
      </c>
      <c r="R28" s="84" t="s">
        <v>86</v>
      </c>
      <c r="S28" s="74">
        <v>18</v>
      </c>
      <c r="T28" s="15"/>
      <c r="U28" s="84" t="s">
        <v>87</v>
      </c>
      <c r="V28" s="100"/>
      <c r="W28" s="74"/>
      <c r="X28" s="84" t="s">
        <v>88</v>
      </c>
      <c r="Y28" s="101" t="s">
        <v>15</v>
      </c>
      <c r="Z28" s="84" t="s">
        <v>89</v>
      </c>
      <c r="AA28" s="88" t="e">
        <f>AA25-AA26</f>
        <v>#VALUE!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 t="s">
        <v>15</v>
      </c>
      <c r="M29" s="84" t="s">
        <v>95</v>
      </c>
      <c r="N29" s="88" t="s">
        <v>15</v>
      </c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 t="s">
        <v>15</v>
      </c>
      <c r="Z29" s="84" t="s">
        <v>95</v>
      </c>
      <c r="AA29" s="88" t="s">
        <v>15</v>
      </c>
      <c r="AB29" s="89" t="s">
        <v>96</v>
      </c>
      <c r="AC29" s="87"/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 t="e">
        <f>L29-L25</f>
        <v>#VALUE!</v>
      </c>
      <c r="M30" s="84" t="s">
        <v>101</v>
      </c>
      <c r="N30" s="88" t="s">
        <v>15</v>
      </c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 t="e">
        <f>Y29-Y25</f>
        <v>#VALUE!</v>
      </c>
      <c r="Z30" s="84" t="s">
        <v>101</v>
      </c>
      <c r="AA30" s="88" t="s">
        <v>15</v>
      </c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 t="e">
        <f>N29-N30</f>
        <v>#VALUE!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 t="e">
        <f>AA29-AA30</f>
        <v>#VALUE!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 t="s">
        <v>15</v>
      </c>
      <c r="M35" s="104" t="s">
        <v>76</v>
      </c>
      <c r="N35" s="107" t="s">
        <v>15</v>
      </c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 t="s">
        <v>15</v>
      </c>
      <c r="Z35" s="104" t="s">
        <v>76</v>
      </c>
      <c r="AA35" s="106" t="s">
        <v>15</v>
      </c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 t="s">
        <v>15</v>
      </c>
      <c r="M36" s="104" t="s">
        <v>83</v>
      </c>
      <c r="N36" s="107">
        <f>I39</f>
        <v>0</v>
      </c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 t="s">
        <v>15</v>
      </c>
      <c r="Z36" s="104" t="s">
        <v>83</v>
      </c>
      <c r="AA36" s="106">
        <f>V39</f>
        <v>0</v>
      </c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>
        <v>18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 t="s">
        <v>15</v>
      </c>
      <c r="M38" s="104" t="s">
        <v>89</v>
      </c>
      <c r="N38" s="107" t="e">
        <f>N35-N36</f>
        <v>#VALUE!</v>
      </c>
      <c r="O38" s="55"/>
      <c r="P38" s="104" t="s">
        <v>85</v>
      </c>
      <c r="Q38" s="92" t="s">
        <v>15</v>
      </c>
      <c r="R38" s="104" t="s">
        <v>86</v>
      </c>
      <c r="S38" s="106">
        <v>18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 t="s">
        <v>15</v>
      </c>
      <c r="Z38" s="104" t="s">
        <v>89</v>
      </c>
      <c r="AA38" s="106" t="e">
        <f>AA35-AA36</f>
        <v>#VALUE!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/>
      <c r="J39" s="106" t="s">
        <v>15</v>
      </c>
      <c r="K39" s="104" t="s">
        <v>94</v>
      </c>
      <c r="L39" s="106" t="s">
        <v>15</v>
      </c>
      <c r="M39" s="104" t="s">
        <v>95</v>
      </c>
      <c r="N39" s="107" t="s">
        <v>15</v>
      </c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/>
      <c r="W39" s="106" t="s">
        <v>15</v>
      </c>
      <c r="X39" s="104" t="s">
        <v>94</v>
      </c>
      <c r="Y39" s="106" t="s">
        <v>15</v>
      </c>
      <c r="Z39" s="104" t="s">
        <v>95</v>
      </c>
      <c r="AA39" s="106" t="s">
        <v>15</v>
      </c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 t="e">
        <f>L39-L35</f>
        <v>#VALUE!</v>
      </c>
      <c r="M40" s="104" t="s">
        <v>101</v>
      </c>
      <c r="N40" s="107" t="s">
        <v>15</v>
      </c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 t="e">
        <f>Y39-Y35</f>
        <v>#VALUE!</v>
      </c>
      <c r="Z40" s="104" t="s">
        <v>101</v>
      </c>
      <c r="AA40" s="106" t="s">
        <v>15</v>
      </c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 t="e">
        <f>N39-N40</f>
        <v>#VALUE!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 t="e">
        <f>AA39-AA40</f>
        <v>#VALUE!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5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50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1">
        <v>168</v>
      </c>
      <c r="AB69" s="145">
        <f>67/Z69</f>
        <v>0.394117647058824</v>
      </c>
      <c r="AC69" s="152">
        <v>0</v>
      </c>
      <c r="AD69" s="152">
        <f>20-AC69</f>
        <v>20</v>
      </c>
      <c r="AE69" s="153"/>
      <c r="AF69" s="154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199</v>
      </c>
      <c r="P70" s="144"/>
      <c r="Q70" s="144"/>
      <c r="R70" s="148"/>
      <c r="S70" s="149" t="s">
        <v>200</v>
      </c>
      <c r="T70" s="149"/>
      <c r="U70" s="144">
        <f t="shared" si="0"/>
        <v>0</v>
      </c>
      <c r="V70" s="150">
        <f t="shared" si="1"/>
        <v>0</v>
      </c>
      <c r="W70" s="146"/>
      <c r="X70" s="144"/>
      <c r="Y70" s="145"/>
      <c r="Z70" s="144"/>
      <c r="AA70" s="151"/>
      <c r="AB70" s="145"/>
      <c r="AC70" s="152"/>
      <c r="AD70" s="152"/>
      <c r="AE70" s="155"/>
      <c r="AF70" s="154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201</v>
      </c>
      <c r="P71" s="144"/>
      <c r="Q71" s="144"/>
      <c r="R71" s="148"/>
      <c r="S71" s="149" t="s">
        <v>202</v>
      </c>
      <c r="T71" s="149"/>
      <c r="U71" s="144">
        <f t="shared" si="0"/>
        <v>0</v>
      </c>
      <c r="V71" s="150">
        <f t="shared" si="1"/>
        <v>0</v>
      </c>
      <c r="W71" s="146"/>
      <c r="X71" s="144"/>
      <c r="Y71" s="145"/>
      <c r="Z71" s="144"/>
      <c r="AA71" s="151"/>
      <c r="AB71" s="145"/>
      <c r="AC71" s="152"/>
      <c r="AD71" s="152"/>
      <c r="AE71" s="156"/>
      <c r="AF71" s="154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203</v>
      </c>
      <c r="P72" s="144"/>
      <c r="Q72" s="144"/>
      <c r="R72" s="148"/>
      <c r="S72" s="149" t="s">
        <v>204</v>
      </c>
      <c r="T72" s="149"/>
      <c r="U72" s="144">
        <f t="shared" si="0"/>
        <v>0</v>
      </c>
      <c r="V72" s="150">
        <f t="shared" si="1"/>
        <v>0</v>
      </c>
      <c r="W72" s="146"/>
      <c r="X72" s="144"/>
      <c r="Y72" s="145"/>
      <c r="Z72" s="144"/>
      <c r="AA72" s="151"/>
      <c r="AB72" s="145"/>
      <c r="AC72" s="152"/>
      <c r="AD72" s="152"/>
      <c r="AE72" s="153" t="s">
        <v>205</v>
      </c>
      <c r="AF72" s="154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50">
        <f t="shared" si="1"/>
        <v>0</v>
      </c>
      <c r="W73" s="146"/>
      <c r="X73" s="144"/>
      <c r="Y73" s="145"/>
      <c r="Z73" s="144"/>
      <c r="AA73" s="151"/>
      <c r="AB73" s="145"/>
      <c r="AC73" s="152"/>
      <c r="AD73" s="152"/>
      <c r="AE73" s="156"/>
      <c r="AF73" s="154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50">
        <f t="shared" si="1"/>
        <v>0</v>
      </c>
      <c r="W74" s="146"/>
      <c r="X74" s="144"/>
      <c r="Y74" s="145"/>
      <c r="Z74" s="144"/>
      <c r="AA74" s="151"/>
      <c r="AB74" s="145"/>
      <c r="AC74" s="152"/>
      <c r="AD74" s="152"/>
      <c r="AE74" s="153"/>
      <c r="AF74" s="154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211</v>
      </c>
      <c r="P75" s="144"/>
      <c r="Q75" s="144"/>
      <c r="R75" s="148"/>
      <c r="S75" s="149" t="s">
        <v>212</v>
      </c>
      <c r="T75" s="149"/>
      <c r="U75" s="144">
        <f t="shared" si="0"/>
        <v>0</v>
      </c>
      <c r="V75" s="150">
        <f t="shared" si="1"/>
        <v>0</v>
      </c>
      <c r="W75" s="146"/>
      <c r="X75" s="144"/>
      <c r="Y75" s="145"/>
      <c r="Z75" s="144"/>
      <c r="AA75" s="151"/>
      <c r="AB75" s="145"/>
      <c r="AC75" s="152"/>
      <c r="AD75" s="152"/>
      <c r="AE75" s="155"/>
      <c r="AF75" s="154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213</v>
      </c>
      <c r="P76" s="144"/>
      <c r="Q76" s="144"/>
      <c r="R76" s="148"/>
      <c r="S76" s="149" t="s">
        <v>214</v>
      </c>
      <c r="T76" s="149"/>
      <c r="U76" s="144">
        <f t="shared" si="0"/>
        <v>0</v>
      </c>
      <c r="V76" s="150">
        <f t="shared" si="1"/>
        <v>0</v>
      </c>
      <c r="W76" s="146"/>
      <c r="X76" s="144"/>
      <c r="Y76" s="145"/>
      <c r="Z76" s="144"/>
      <c r="AA76" s="151"/>
      <c r="AB76" s="145"/>
      <c r="AC76" s="152"/>
      <c r="AD76" s="152"/>
      <c r="AE76" s="156"/>
      <c r="AF76" s="154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215</v>
      </c>
      <c r="P77" s="144"/>
      <c r="Q77" s="144"/>
      <c r="R77" s="148"/>
      <c r="S77" s="149" t="s">
        <v>216</v>
      </c>
      <c r="T77" s="149"/>
      <c r="U77" s="144">
        <f t="shared" si="0"/>
        <v>0</v>
      </c>
      <c r="V77" s="150">
        <f t="shared" si="1"/>
        <v>0</v>
      </c>
      <c r="W77" s="146"/>
      <c r="X77" s="144"/>
      <c r="Y77" s="145"/>
      <c r="Z77" s="144"/>
      <c r="AA77" s="151"/>
      <c r="AB77" s="145"/>
      <c r="AC77" s="152"/>
      <c r="AD77" s="152"/>
      <c r="AE77" s="153" t="s">
        <v>217</v>
      </c>
      <c r="AF77" s="154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50">
        <f t="shared" si="1"/>
        <v>0</v>
      </c>
      <c r="W78" s="146"/>
      <c r="X78" s="144"/>
      <c r="Y78" s="145"/>
      <c r="Z78" s="144"/>
      <c r="AA78" s="151"/>
      <c r="AB78" s="145"/>
      <c r="AC78" s="152"/>
      <c r="AD78" s="152"/>
      <c r="AE78" s="156"/>
      <c r="AF78" s="154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7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50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1">
        <v>170</v>
      </c>
      <c r="AB79" s="145">
        <f>77/Z79</f>
        <v>0.452941176470588</v>
      </c>
      <c r="AC79" s="144" t="s">
        <v>225</v>
      </c>
      <c r="AD79" s="152">
        <f>20-AC79</f>
        <v>20</v>
      </c>
      <c r="AE79" s="153"/>
      <c r="AF79" s="154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7"/>
      <c r="J80" s="144"/>
      <c r="K80" s="145"/>
      <c r="L80" s="144"/>
      <c r="M80" s="144"/>
      <c r="N80" s="144"/>
      <c r="O80" s="147" t="s">
        <v>226</v>
      </c>
      <c r="P80" s="144"/>
      <c r="Q80" s="144"/>
      <c r="R80" s="148"/>
      <c r="S80" s="149" t="s">
        <v>227</v>
      </c>
      <c r="T80" s="149"/>
      <c r="U80" s="144">
        <f t="shared" si="0"/>
        <v>0</v>
      </c>
      <c r="V80" s="150">
        <f t="shared" si="1"/>
        <v>0</v>
      </c>
      <c r="W80" s="146"/>
      <c r="X80" s="144"/>
      <c r="Y80" s="145"/>
      <c r="Z80" s="144"/>
      <c r="AA80" s="151"/>
      <c r="AB80" s="145"/>
      <c r="AC80" s="144"/>
      <c r="AD80" s="152"/>
      <c r="AE80" s="155"/>
      <c r="AF80" s="154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7"/>
      <c r="J81" s="144"/>
      <c r="K81" s="145"/>
      <c r="L81" s="144"/>
      <c r="M81" s="144"/>
      <c r="N81" s="144"/>
      <c r="O81" s="147" t="s">
        <v>228</v>
      </c>
      <c r="P81" s="144"/>
      <c r="Q81" s="144"/>
      <c r="R81" s="148"/>
      <c r="S81" s="149" t="s">
        <v>229</v>
      </c>
      <c r="T81" s="149"/>
      <c r="U81" s="144">
        <f t="shared" si="0"/>
        <v>0</v>
      </c>
      <c r="V81" s="150">
        <f t="shared" si="1"/>
        <v>0</v>
      </c>
      <c r="W81" s="146"/>
      <c r="X81" s="144"/>
      <c r="Y81" s="145"/>
      <c r="Z81" s="144"/>
      <c r="AA81" s="151"/>
      <c r="AB81" s="145"/>
      <c r="AC81" s="144"/>
      <c r="AD81" s="152"/>
      <c r="AE81" s="156"/>
      <c r="AF81" s="154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7"/>
      <c r="J82" s="144"/>
      <c r="K82" s="145"/>
      <c r="L82" s="144"/>
      <c r="M82" s="144"/>
      <c r="N82" s="144"/>
      <c r="O82" s="147" t="s">
        <v>230</v>
      </c>
      <c r="P82" s="144"/>
      <c r="Q82" s="144"/>
      <c r="R82" s="148"/>
      <c r="S82" s="149" t="s">
        <v>231</v>
      </c>
      <c r="T82" s="149"/>
      <c r="U82" s="144">
        <f t="shared" si="0"/>
        <v>0</v>
      </c>
      <c r="V82" s="150">
        <f t="shared" si="1"/>
        <v>0</v>
      </c>
      <c r="W82" s="146"/>
      <c r="X82" s="144"/>
      <c r="Y82" s="145"/>
      <c r="Z82" s="144"/>
      <c r="AA82" s="151"/>
      <c r="AB82" s="145"/>
      <c r="AC82" s="144"/>
      <c r="AD82" s="152"/>
      <c r="AE82" s="153" t="s">
        <v>205</v>
      </c>
      <c r="AF82" s="154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7"/>
      <c r="J83" s="144"/>
      <c r="K83" s="145"/>
      <c r="L83" s="144"/>
      <c r="M83" s="144"/>
      <c r="N83" s="144"/>
      <c r="O83" s="147" t="s">
        <v>232</v>
      </c>
      <c r="P83" s="144"/>
      <c r="Q83" s="144"/>
      <c r="R83" s="148"/>
      <c r="S83" s="149" t="s">
        <v>233</v>
      </c>
      <c r="T83" s="149"/>
      <c r="U83" s="144">
        <f t="shared" si="0"/>
        <v>0</v>
      </c>
      <c r="V83" s="150">
        <f t="shared" si="1"/>
        <v>0</v>
      </c>
      <c r="W83" s="146"/>
      <c r="X83" s="144"/>
      <c r="Y83" s="145"/>
      <c r="Z83" s="144"/>
      <c r="AA83" s="151"/>
      <c r="AB83" s="145"/>
      <c r="AC83" s="144"/>
      <c r="AD83" s="152"/>
      <c r="AE83" s="156"/>
      <c r="AF83" s="154"/>
    </row>
    <row r="84" s="10" customFormat="1" ht="14.15" customHeight="1" spans="1:32">
      <c r="A84" s="144"/>
      <c r="B84" s="144" t="s">
        <v>234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7"/>
      <c r="J84" s="144"/>
      <c r="K84" s="145"/>
      <c r="L84" s="144"/>
      <c r="M84" s="144"/>
      <c r="N84" s="144"/>
      <c r="O84" s="147" t="s">
        <v>235</v>
      </c>
      <c r="P84" s="144"/>
      <c r="Q84" s="144"/>
      <c r="R84" s="148"/>
      <c r="S84" s="149" t="s">
        <v>236</v>
      </c>
      <c r="T84" s="149"/>
      <c r="U84" s="144">
        <f t="shared" si="0"/>
        <v>0</v>
      </c>
      <c r="V84" s="150">
        <f t="shared" si="1"/>
        <v>0</v>
      </c>
      <c r="W84" s="146"/>
      <c r="X84" s="144"/>
      <c r="Y84" s="145"/>
      <c r="Z84" s="144"/>
      <c r="AA84" s="151"/>
      <c r="AB84" s="145"/>
      <c r="AC84" s="144"/>
      <c r="AD84" s="152"/>
      <c r="AE84" s="153"/>
      <c r="AF84" s="154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7"/>
      <c r="J85" s="144"/>
      <c r="K85" s="145"/>
      <c r="L85" s="144"/>
      <c r="M85" s="144"/>
      <c r="N85" s="144"/>
      <c r="O85" s="147" t="s">
        <v>237</v>
      </c>
      <c r="P85" s="144"/>
      <c r="Q85" s="144"/>
      <c r="R85" s="148"/>
      <c r="S85" s="149" t="s">
        <v>238</v>
      </c>
      <c r="T85" s="149"/>
      <c r="U85" s="144">
        <f t="shared" si="0"/>
        <v>0</v>
      </c>
      <c r="V85" s="150">
        <f t="shared" si="1"/>
        <v>0</v>
      </c>
      <c r="W85" s="146"/>
      <c r="X85" s="144"/>
      <c r="Y85" s="145"/>
      <c r="Z85" s="144"/>
      <c r="AA85" s="151"/>
      <c r="AB85" s="145"/>
      <c r="AC85" s="144"/>
      <c r="AD85" s="152"/>
      <c r="AE85" s="155"/>
      <c r="AF85" s="154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7"/>
      <c r="J86" s="144"/>
      <c r="K86" s="145"/>
      <c r="L86" s="144"/>
      <c r="M86" s="144"/>
      <c r="N86" s="144"/>
      <c r="O86" s="147" t="s">
        <v>239</v>
      </c>
      <c r="P86" s="144"/>
      <c r="Q86" s="144"/>
      <c r="R86" s="148"/>
      <c r="S86" s="149" t="s">
        <v>240</v>
      </c>
      <c r="T86" s="149"/>
      <c r="U86" s="144">
        <f t="shared" si="0"/>
        <v>0</v>
      </c>
      <c r="V86" s="150">
        <f t="shared" si="1"/>
        <v>0</v>
      </c>
      <c r="W86" s="146"/>
      <c r="X86" s="144"/>
      <c r="Y86" s="145"/>
      <c r="Z86" s="144"/>
      <c r="AA86" s="151"/>
      <c r="AB86" s="145"/>
      <c r="AC86" s="144"/>
      <c r="AD86" s="152"/>
      <c r="AE86" s="156"/>
      <c r="AF86" s="154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7"/>
      <c r="J87" s="144"/>
      <c r="K87" s="145"/>
      <c r="L87" s="144"/>
      <c r="M87" s="144"/>
      <c r="N87" s="144"/>
      <c r="O87" s="147" t="s">
        <v>241</v>
      </c>
      <c r="P87" s="144"/>
      <c r="Q87" s="144"/>
      <c r="R87" s="148"/>
      <c r="S87" s="149" t="s">
        <v>242</v>
      </c>
      <c r="T87" s="149"/>
      <c r="U87" s="144">
        <f t="shared" si="0"/>
        <v>0</v>
      </c>
      <c r="V87" s="150">
        <f t="shared" si="1"/>
        <v>0</v>
      </c>
      <c r="W87" s="146"/>
      <c r="X87" s="144"/>
      <c r="Y87" s="145"/>
      <c r="Z87" s="144"/>
      <c r="AA87" s="151"/>
      <c r="AB87" s="145"/>
      <c r="AC87" s="144"/>
      <c r="AD87" s="152"/>
      <c r="AE87" s="153" t="s">
        <v>217</v>
      </c>
      <c r="AF87" s="154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7"/>
      <c r="J88" s="144"/>
      <c r="K88" s="145"/>
      <c r="L88" s="144"/>
      <c r="M88" s="144"/>
      <c r="N88" s="144"/>
      <c r="O88" s="147" t="s">
        <v>243</v>
      </c>
      <c r="P88" s="144"/>
      <c r="Q88" s="144"/>
      <c r="R88" s="148"/>
      <c r="S88" s="149" t="s">
        <v>244</v>
      </c>
      <c r="T88" s="149"/>
      <c r="U88" s="144">
        <f t="shared" si="0"/>
        <v>0</v>
      </c>
      <c r="V88" s="150">
        <f t="shared" si="1"/>
        <v>0</v>
      </c>
      <c r="W88" s="146"/>
      <c r="X88" s="144"/>
      <c r="Y88" s="145"/>
      <c r="Z88" s="144"/>
      <c r="AA88" s="151"/>
      <c r="AB88" s="145"/>
      <c r="AC88" s="144"/>
      <c r="AD88" s="152"/>
      <c r="AE88" s="156"/>
      <c r="AF88" s="154"/>
    </row>
    <row r="89" s="10" customFormat="1" ht="14.15" customHeight="1" spans="1:32">
      <c r="A89" s="144" t="s">
        <v>245</v>
      </c>
      <c r="B89" s="144" t="s">
        <v>246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247</v>
      </c>
      <c r="J89" s="144"/>
      <c r="K89" s="145">
        <f>J89/300</f>
        <v>0</v>
      </c>
      <c r="L89" s="144" t="s">
        <v>194</v>
      </c>
      <c r="M89" s="144"/>
      <c r="N89" s="144"/>
      <c r="O89" s="158" t="s">
        <v>248</v>
      </c>
      <c r="P89" s="144"/>
      <c r="Q89" s="144"/>
      <c r="R89" s="148"/>
      <c r="S89" s="149" t="s">
        <v>249</v>
      </c>
      <c r="T89" s="149"/>
      <c r="U89" s="144">
        <f t="shared" si="0"/>
        <v>0</v>
      </c>
      <c r="V89" s="150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1">
        <v>140</v>
      </c>
      <c r="AB89" s="145">
        <f>87/Z89</f>
        <v>0.564935064935065</v>
      </c>
      <c r="AC89" s="144" t="s">
        <v>225</v>
      </c>
      <c r="AD89" s="152">
        <f>20-AC89</f>
        <v>20</v>
      </c>
      <c r="AE89" s="153"/>
      <c r="AF89" s="154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8" t="s">
        <v>250</v>
      </c>
      <c r="P90" s="144"/>
      <c r="Q90" s="144"/>
      <c r="R90" s="148"/>
      <c r="S90" s="149" t="s">
        <v>251</v>
      </c>
      <c r="T90" s="149"/>
      <c r="U90" s="144">
        <f t="shared" si="0"/>
        <v>0</v>
      </c>
      <c r="V90" s="150">
        <f t="shared" si="1"/>
        <v>0</v>
      </c>
      <c r="W90" s="146"/>
      <c r="X90" s="144"/>
      <c r="Y90" s="145"/>
      <c r="Z90" s="144"/>
      <c r="AA90" s="151"/>
      <c r="AB90" s="145"/>
      <c r="AC90" s="144"/>
      <c r="AD90" s="152"/>
      <c r="AE90" s="155"/>
      <c r="AF90" s="154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8" t="s">
        <v>252</v>
      </c>
      <c r="P91" s="144"/>
      <c r="Q91" s="144"/>
      <c r="R91" s="148"/>
      <c r="S91" s="149" t="s">
        <v>253</v>
      </c>
      <c r="T91" s="149"/>
      <c r="U91" s="144">
        <f t="shared" si="0"/>
        <v>0</v>
      </c>
      <c r="V91" s="150">
        <f t="shared" si="1"/>
        <v>0</v>
      </c>
      <c r="W91" s="146"/>
      <c r="X91" s="144"/>
      <c r="Y91" s="145"/>
      <c r="Z91" s="144"/>
      <c r="AA91" s="151"/>
      <c r="AB91" s="145"/>
      <c r="AC91" s="144"/>
      <c r="AD91" s="152"/>
      <c r="AE91" s="155"/>
      <c r="AF91" s="154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8" t="s">
        <v>254</v>
      </c>
      <c r="P92" s="144"/>
      <c r="Q92" s="144"/>
      <c r="R92" s="148"/>
      <c r="S92" s="149" t="s">
        <v>255</v>
      </c>
      <c r="T92" s="149"/>
      <c r="U92" s="144">
        <f t="shared" si="0"/>
        <v>0</v>
      </c>
      <c r="V92" s="150">
        <f t="shared" si="1"/>
        <v>0</v>
      </c>
      <c r="W92" s="146"/>
      <c r="X92" s="144"/>
      <c r="Y92" s="145"/>
      <c r="Z92" s="144"/>
      <c r="AA92" s="151"/>
      <c r="AB92" s="145"/>
      <c r="AC92" s="144"/>
      <c r="AD92" s="152"/>
      <c r="AE92" s="156"/>
      <c r="AF92" s="154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8" t="s">
        <v>256</v>
      </c>
      <c r="P93" s="144"/>
      <c r="Q93" s="144"/>
      <c r="R93" s="148"/>
      <c r="S93" s="149" t="s">
        <v>257</v>
      </c>
      <c r="T93" s="149"/>
      <c r="U93" s="144">
        <f t="shared" si="0"/>
        <v>0</v>
      </c>
      <c r="V93" s="150">
        <f t="shared" si="1"/>
        <v>0</v>
      </c>
      <c r="W93" s="146"/>
      <c r="X93" s="144"/>
      <c r="Y93" s="145"/>
      <c r="Z93" s="144"/>
      <c r="AA93" s="151"/>
      <c r="AB93" s="145"/>
      <c r="AC93" s="144"/>
      <c r="AD93" s="152"/>
      <c r="AE93" s="153" t="s">
        <v>205</v>
      </c>
      <c r="AF93" s="154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8" t="s">
        <v>258</v>
      </c>
      <c r="P94" s="144"/>
      <c r="Q94" s="144"/>
      <c r="R94" s="148"/>
      <c r="S94" s="149" t="s">
        <v>259</v>
      </c>
      <c r="T94" s="149"/>
      <c r="U94" s="144">
        <f t="shared" si="0"/>
        <v>0</v>
      </c>
      <c r="V94" s="150">
        <f t="shared" si="1"/>
        <v>0</v>
      </c>
      <c r="W94" s="146"/>
      <c r="X94" s="144"/>
      <c r="Y94" s="145"/>
      <c r="Z94" s="144"/>
      <c r="AA94" s="151"/>
      <c r="AB94" s="145"/>
      <c r="AC94" s="144"/>
      <c r="AD94" s="152"/>
      <c r="AE94" s="155"/>
      <c r="AF94" s="154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8" t="s">
        <v>260</v>
      </c>
      <c r="P95" s="144"/>
      <c r="Q95" s="144"/>
      <c r="R95" s="148"/>
      <c r="S95" s="149" t="s">
        <v>261</v>
      </c>
      <c r="T95" s="149"/>
      <c r="U95" s="144">
        <f t="shared" si="0"/>
        <v>0</v>
      </c>
      <c r="V95" s="150">
        <f t="shared" si="1"/>
        <v>0</v>
      </c>
      <c r="W95" s="146"/>
      <c r="X95" s="144"/>
      <c r="Y95" s="145"/>
      <c r="Z95" s="144"/>
      <c r="AA95" s="151"/>
      <c r="AB95" s="145"/>
      <c r="AC95" s="144"/>
      <c r="AD95" s="152"/>
      <c r="AE95" s="156"/>
      <c r="AF95" s="154"/>
    </row>
    <row r="96" s="10" customFormat="1" ht="14.15" customHeight="1" spans="1:32">
      <c r="A96" s="144"/>
      <c r="B96" s="144" t="s">
        <v>262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8" t="s">
        <v>263</v>
      </c>
      <c r="P96" s="144"/>
      <c r="Q96" s="144"/>
      <c r="R96" s="148"/>
      <c r="S96" s="149" t="s">
        <v>264</v>
      </c>
      <c r="T96" s="149"/>
      <c r="U96" s="144">
        <f t="shared" si="0"/>
        <v>0</v>
      </c>
      <c r="V96" s="150">
        <f t="shared" si="1"/>
        <v>0</v>
      </c>
      <c r="W96" s="146"/>
      <c r="X96" s="144"/>
      <c r="Y96" s="145"/>
      <c r="Z96" s="144"/>
      <c r="AA96" s="151"/>
      <c r="AB96" s="145"/>
      <c r="AC96" s="144"/>
      <c r="AD96" s="152"/>
      <c r="AE96" s="153"/>
      <c r="AF96" s="154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8" t="s">
        <v>265</v>
      </c>
      <c r="P97" s="144"/>
      <c r="Q97" s="144"/>
      <c r="R97" s="148"/>
      <c r="S97" s="149" t="s">
        <v>266</v>
      </c>
      <c r="T97" s="149"/>
      <c r="U97" s="144">
        <f t="shared" si="0"/>
        <v>0</v>
      </c>
      <c r="V97" s="150">
        <f t="shared" si="1"/>
        <v>0</v>
      </c>
      <c r="W97" s="146"/>
      <c r="X97" s="144"/>
      <c r="Y97" s="145"/>
      <c r="Z97" s="144"/>
      <c r="AA97" s="151"/>
      <c r="AB97" s="145"/>
      <c r="AC97" s="144"/>
      <c r="AD97" s="152"/>
      <c r="AE97" s="155"/>
      <c r="AF97" s="154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8" t="s">
        <v>267</v>
      </c>
      <c r="P98" s="144"/>
      <c r="Q98" s="144"/>
      <c r="R98" s="148"/>
      <c r="S98" s="149" t="s">
        <v>268</v>
      </c>
      <c r="T98" s="149"/>
      <c r="U98" s="144">
        <f t="shared" si="0"/>
        <v>0</v>
      </c>
      <c r="V98" s="150">
        <f t="shared" si="1"/>
        <v>0</v>
      </c>
      <c r="W98" s="146"/>
      <c r="X98" s="144"/>
      <c r="Y98" s="145"/>
      <c r="Z98" s="144"/>
      <c r="AA98" s="151"/>
      <c r="AB98" s="145"/>
      <c r="AC98" s="144"/>
      <c r="AD98" s="152"/>
      <c r="AE98" s="155"/>
      <c r="AF98" s="154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8" t="s">
        <v>269</v>
      </c>
      <c r="P99" s="144"/>
      <c r="Q99" s="144"/>
      <c r="R99" s="148"/>
      <c r="S99" s="149" t="s">
        <v>270</v>
      </c>
      <c r="T99" s="149"/>
      <c r="U99" s="144">
        <f t="shared" si="0"/>
        <v>0</v>
      </c>
      <c r="V99" s="150">
        <f t="shared" si="1"/>
        <v>0</v>
      </c>
      <c r="W99" s="146"/>
      <c r="X99" s="144"/>
      <c r="Y99" s="145"/>
      <c r="Z99" s="144"/>
      <c r="AA99" s="151"/>
      <c r="AB99" s="145"/>
      <c r="AC99" s="144"/>
      <c r="AD99" s="152"/>
      <c r="AE99" s="156"/>
      <c r="AF99" s="154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8" t="s">
        <v>271</v>
      </c>
      <c r="P100" s="144"/>
      <c r="Q100" s="144"/>
      <c r="R100" s="148"/>
      <c r="S100" s="149" t="s">
        <v>272</v>
      </c>
      <c r="T100" s="149"/>
      <c r="U100" s="144">
        <f t="shared" si="0"/>
        <v>0</v>
      </c>
      <c r="V100" s="150">
        <f t="shared" si="1"/>
        <v>0</v>
      </c>
      <c r="W100" s="146"/>
      <c r="X100" s="144"/>
      <c r="Y100" s="145"/>
      <c r="Z100" s="144"/>
      <c r="AA100" s="151"/>
      <c r="AB100" s="145"/>
      <c r="AC100" s="144"/>
      <c r="AD100" s="152"/>
      <c r="AE100" s="153" t="s">
        <v>217</v>
      </c>
      <c r="AF100" s="154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8" t="s">
        <v>273</v>
      </c>
      <c r="P101" s="144"/>
      <c r="Q101" s="144"/>
      <c r="R101" s="148"/>
      <c r="S101" s="149" t="s">
        <v>274</v>
      </c>
      <c r="T101" s="149"/>
      <c r="U101" s="144">
        <f t="shared" si="0"/>
        <v>0</v>
      </c>
      <c r="V101" s="150">
        <f t="shared" si="1"/>
        <v>0</v>
      </c>
      <c r="W101" s="146"/>
      <c r="X101" s="144"/>
      <c r="Y101" s="145"/>
      <c r="Z101" s="144"/>
      <c r="AA101" s="151"/>
      <c r="AB101" s="145"/>
      <c r="AC101" s="144"/>
      <c r="AD101" s="152"/>
      <c r="AE101" s="155"/>
      <c r="AF101" s="154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8" t="s">
        <v>275</v>
      </c>
      <c r="P102" s="144"/>
      <c r="Q102" s="144"/>
      <c r="R102" s="148"/>
      <c r="S102" s="149" t="s">
        <v>276</v>
      </c>
      <c r="T102" s="149"/>
      <c r="U102" s="144">
        <f t="shared" si="0"/>
        <v>0</v>
      </c>
      <c r="V102" s="150">
        <f t="shared" si="1"/>
        <v>0</v>
      </c>
      <c r="W102" s="146"/>
      <c r="X102" s="144"/>
      <c r="Y102" s="145"/>
      <c r="Z102" s="144"/>
      <c r="AA102" s="151"/>
      <c r="AB102" s="145"/>
      <c r="AC102" s="144"/>
      <c r="AD102" s="152"/>
      <c r="AE102" s="156"/>
      <c r="AF102" s="154"/>
    </row>
    <row r="103" s="10" customFormat="1" ht="14.15" customHeight="1" spans="1:32">
      <c r="A103" s="144" t="s">
        <v>277</v>
      </c>
      <c r="B103" s="144" t="s">
        <v>278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279</v>
      </c>
      <c r="J103" s="144"/>
      <c r="K103" s="145">
        <f>J103/300</f>
        <v>0</v>
      </c>
      <c r="L103" s="144" t="s">
        <v>194</v>
      </c>
      <c r="M103" s="144"/>
      <c r="N103" s="144"/>
      <c r="O103" s="158" t="s">
        <v>280</v>
      </c>
      <c r="P103" s="144"/>
      <c r="Q103" s="144"/>
      <c r="R103" s="148"/>
      <c r="S103" s="149" t="s">
        <v>281</v>
      </c>
      <c r="T103" s="149"/>
      <c r="U103" s="144">
        <f t="shared" si="0"/>
        <v>0</v>
      </c>
      <c r="V103" s="150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1">
        <v>152</v>
      </c>
      <c r="AB103" s="145">
        <f>101/Z103</f>
        <v>0.655844155844156</v>
      </c>
      <c r="AC103" s="144" t="s">
        <v>225</v>
      </c>
      <c r="AD103" s="152">
        <f>20-AC103</f>
        <v>20</v>
      </c>
      <c r="AE103" s="153"/>
      <c r="AF103" s="154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282</v>
      </c>
      <c r="P104" s="144"/>
      <c r="Q104" s="144"/>
      <c r="R104" s="148"/>
      <c r="S104" s="149" t="s">
        <v>283</v>
      </c>
      <c r="T104" s="149"/>
      <c r="U104" s="144">
        <f t="shared" si="0"/>
        <v>0</v>
      </c>
      <c r="V104" s="150">
        <f t="shared" si="1"/>
        <v>0</v>
      </c>
      <c r="W104" s="146"/>
      <c r="X104" s="144"/>
      <c r="Y104" s="145"/>
      <c r="Z104" s="144"/>
      <c r="AA104" s="151"/>
      <c r="AB104" s="145"/>
      <c r="AC104" s="144"/>
      <c r="AD104" s="152"/>
      <c r="AE104" s="155"/>
      <c r="AF104" s="154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8" t="s">
        <v>284</v>
      </c>
      <c r="P105" s="144"/>
      <c r="Q105" s="144"/>
      <c r="R105" s="148"/>
      <c r="S105" s="149" t="s">
        <v>285</v>
      </c>
      <c r="T105" s="149"/>
      <c r="U105" s="144">
        <f t="shared" si="0"/>
        <v>0</v>
      </c>
      <c r="V105" s="150">
        <f t="shared" si="1"/>
        <v>0</v>
      </c>
      <c r="W105" s="146"/>
      <c r="X105" s="144"/>
      <c r="Y105" s="145"/>
      <c r="Z105" s="144"/>
      <c r="AA105" s="151"/>
      <c r="AB105" s="145"/>
      <c r="AC105" s="144"/>
      <c r="AD105" s="152"/>
      <c r="AE105" s="155"/>
      <c r="AF105" s="154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286</v>
      </c>
      <c r="P106" s="144"/>
      <c r="Q106" s="144"/>
      <c r="R106" s="148"/>
      <c r="S106" s="149" t="s">
        <v>287</v>
      </c>
      <c r="T106" s="149"/>
      <c r="U106" s="144">
        <f t="shared" si="0"/>
        <v>0</v>
      </c>
      <c r="V106" s="150">
        <f t="shared" si="1"/>
        <v>0</v>
      </c>
      <c r="W106" s="146"/>
      <c r="X106" s="144"/>
      <c r="Y106" s="145"/>
      <c r="Z106" s="144"/>
      <c r="AA106" s="151"/>
      <c r="AB106" s="145"/>
      <c r="AC106" s="144"/>
      <c r="AD106" s="152"/>
      <c r="AE106" s="156"/>
      <c r="AF106" s="154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8" t="s">
        <v>288</v>
      </c>
      <c r="P107" s="144"/>
      <c r="Q107" s="144"/>
      <c r="R107" s="148"/>
      <c r="S107" s="149" t="s">
        <v>289</v>
      </c>
      <c r="T107" s="149"/>
      <c r="U107" s="144">
        <f t="shared" si="0"/>
        <v>0</v>
      </c>
      <c r="V107" s="150">
        <f t="shared" si="1"/>
        <v>0</v>
      </c>
      <c r="W107" s="146"/>
      <c r="X107" s="144"/>
      <c r="Y107" s="145"/>
      <c r="Z107" s="144"/>
      <c r="AA107" s="151"/>
      <c r="AB107" s="145"/>
      <c r="AC107" s="144"/>
      <c r="AD107" s="152"/>
      <c r="AE107" s="153" t="s">
        <v>205</v>
      </c>
      <c r="AF107" s="154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290</v>
      </c>
      <c r="P108" s="144"/>
      <c r="Q108" s="144"/>
      <c r="R108" s="148"/>
      <c r="S108" s="149" t="s">
        <v>291</v>
      </c>
      <c r="T108" s="149"/>
      <c r="U108" s="144">
        <f t="shared" si="0"/>
        <v>0</v>
      </c>
      <c r="V108" s="150">
        <f t="shared" si="1"/>
        <v>0</v>
      </c>
      <c r="W108" s="146"/>
      <c r="X108" s="144"/>
      <c r="Y108" s="145"/>
      <c r="Z108" s="144"/>
      <c r="AA108" s="151"/>
      <c r="AB108" s="145"/>
      <c r="AC108" s="144"/>
      <c r="AD108" s="152"/>
      <c r="AE108" s="155"/>
      <c r="AF108" s="154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8" t="s">
        <v>292</v>
      </c>
      <c r="P109" s="144"/>
      <c r="Q109" s="144"/>
      <c r="R109" s="148"/>
      <c r="S109" s="149" t="s">
        <v>293</v>
      </c>
      <c r="T109" s="149"/>
      <c r="U109" s="144">
        <f t="shared" si="0"/>
        <v>0</v>
      </c>
      <c r="V109" s="150">
        <f t="shared" si="1"/>
        <v>0</v>
      </c>
      <c r="W109" s="146"/>
      <c r="X109" s="144"/>
      <c r="Y109" s="145"/>
      <c r="Z109" s="144"/>
      <c r="AA109" s="151"/>
      <c r="AB109" s="145"/>
      <c r="AC109" s="144"/>
      <c r="AD109" s="152"/>
      <c r="AE109" s="156"/>
      <c r="AF109" s="154"/>
    </row>
    <row r="110" s="10" customFormat="1" ht="14.15" customHeight="1" spans="1:32">
      <c r="A110" s="144"/>
      <c r="B110" s="144" t="s">
        <v>294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295</v>
      </c>
      <c r="P110" s="144"/>
      <c r="Q110" s="144"/>
      <c r="R110" s="148"/>
      <c r="S110" s="149" t="s">
        <v>296</v>
      </c>
      <c r="T110" s="149"/>
      <c r="U110" s="144">
        <f t="shared" si="0"/>
        <v>0</v>
      </c>
      <c r="V110" s="150">
        <f t="shared" si="1"/>
        <v>0</v>
      </c>
      <c r="W110" s="146"/>
      <c r="X110" s="144"/>
      <c r="Y110" s="145"/>
      <c r="Z110" s="144"/>
      <c r="AA110" s="151"/>
      <c r="AB110" s="145"/>
      <c r="AC110" s="144"/>
      <c r="AD110" s="152"/>
      <c r="AE110" s="153"/>
      <c r="AF110" s="154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297</v>
      </c>
      <c r="P111" s="144"/>
      <c r="Q111" s="144"/>
      <c r="R111" s="148"/>
      <c r="S111" s="149" t="s">
        <v>298</v>
      </c>
      <c r="T111" s="149"/>
      <c r="U111" s="144">
        <f t="shared" si="0"/>
        <v>0</v>
      </c>
      <c r="V111" s="150">
        <f t="shared" si="1"/>
        <v>0</v>
      </c>
      <c r="W111" s="146"/>
      <c r="X111" s="144"/>
      <c r="Y111" s="145"/>
      <c r="Z111" s="144"/>
      <c r="AA111" s="151"/>
      <c r="AB111" s="145"/>
      <c r="AC111" s="144"/>
      <c r="AD111" s="152"/>
      <c r="AE111" s="155"/>
      <c r="AF111" s="154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299</v>
      </c>
      <c r="P112" s="144"/>
      <c r="Q112" s="144"/>
      <c r="R112" s="148"/>
      <c r="S112" s="149" t="s">
        <v>300</v>
      </c>
      <c r="T112" s="149"/>
      <c r="U112" s="144">
        <f t="shared" si="0"/>
        <v>0</v>
      </c>
      <c r="V112" s="150">
        <f t="shared" si="1"/>
        <v>0</v>
      </c>
      <c r="W112" s="146"/>
      <c r="X112" s="144"/>
      <c r="Y112" s="145"/>
      <c r="Z112" s="144"/>
      <c r="AA112" s="151"/>
      <c r="AB112" s="145"/>
      <c r="AC112" s="144"/>
      <c r="AD112" s="152"/>
      <c r="AE112" s="155"/>
      <c r="AF112" s="154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301</v>
      </c>
      <c r="P113" s="144"/>
      <c r="Q113" s="144"/>
      <c r="R113" s="148"/>
      <c r="S113" s="149" t="s">
        <v>302</v>
      </c>
      <c r="T113" s="149"/>
      <c r="U113" s="144">
        <f t="shared" si="0"/>
        <v>0</v>
      </c>
      <c r="V113" s="150">
        <f t="shared" si="1"/>
        <v>0</v>
      </c>
      <c r="W113" s="146"/>
      <c r="X113" s="144"/>
      <c r="Y113" s="145"/>
      <c r="Z113" s="144"/>
      <c r="AA113" s="151"/>
      <c r="AB113" s="145"/>
      <c r="AC113" s="144"/>
      <c r="AD113" s="152"/>
      <c r="AE113" s="156"/>
      <c r="AF113" s="154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303</v>
      </c>
      <c r="P114" s="144"/>
      <c r="Q114" s="144"/>
      <c r="R114" s="148"/>
      <c r="S114" s="149" t="s">
        <v>304</v>
      </c>
      <c r="T114" s="149"/>
      <c r="U114" s="144">
        <f t="shared" si="0"/>
        <v>0</v>
      </c>
      <c r="V114" s="150">
        <f t="shared" si="1"/>
        <v>0</v>
      </c>
      <c r="W114" s="146"/>
      <c r="X114" s="144"/>
      <c r="Y114" s="145"/>
      <c r="Z114" s="144"/>
      <c r="AA114" s="151"/>
      <c r="AB114" s="145"/>
      <c r="AC114" s="144"/>
      <c r="AD114" s="152"/>
      <c r="AE114" s="153" t="s">
        <v>217</v>
      </c>
      <c r="AF114" s="154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305</v>
      </c>
      <c r="P115" s="144"/>
      <c r="Q115" s="144"/>
      <c r="R115" s="148"/>
      <c r="S115" s="149" t="s">
        <v>306</v>
      </c>
      <c r="T115" s="149"/>
      <c r="U115" s="144">
        <f t="shared" si="0"/>
        <v>0</v>
      </c>
      <c r="V115" s="150">
        <f t="shared" si="1"/>
        <v>0</v>
      </c>
      <c r="W115" s="146"/>
      <c r="X115" s="144"/>
      <c r="Y115" s="145"/>
      <c r="Z115" s="144"/>
      <c r="AA115" s="151"/>
      <c r="AB115" s="145"/>
      <c r="AC115" s="144"/>
      <c r="AD115" s="152"/>
      <c r="AE115" s="155"/>
      <c r="AF115" s="154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307</v>
      </c>
      <c r="P116" s="144"/>
      <c r="Q116" s="144"/>
      <c r="R116" s="148"/>
      <c r="S116" s="149" t="s">
        <v>308</v>
      </c>
      <c r="T116" s="149"/>
      <c r="U116" s="144">
        <f t="shared" si="0"/>
        <v>0</v>
      </c>
      <c r="V116" s="150">
        <f t="shared" si="1"/>
        <v>0</v>
      </c>
      <c r="W116" s="146"/>
      <c r="X116" s="144"/>
      <c r="Y116" s="145"/>
      <c r="Z116" s="144"/>
      <c r="AA116" s="151"/>
      <c r="AB116" s="145"/>
      <c r="AC116" s="144"/>
      <c r="AD116" s="152"/>
      <c r="AE116" s="156"/>
      <c r="AF116" s="154"/>
    </row>
    <row r="117" s="10" customFormat="1" ht="14.15" customHeight="1" spans="1:32">
      <c r="A117" s="144" t="s">
        <v>309</v>
      </c>
      <c r="B117" s="144" t="s">
        <v>310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311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312</v>
      </c>
      <c r="P117" s="144"/>
      <c r="Q117" s="144"/>
      <c r="R117" s="148"/>
      <c r="S117" s="149" t="s">
        <v>313</v>
      </c>
      <c r="T117" s="149"/>
      <c r="U117" s="144">
        <f t="shared" si="0"/>
        <v>0</v>
      </c>
      <c r="V117" s="150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1">
        <v>170</v>
      </c>
      <c r="AB117" s="145">
        <f>115/Z117</f>
        <v>0.676470588235294</v>
      </c>
      <c r="AC117" s="144" t="s">
        <v>225</v>
      </c>
      <c r="AD117" s="152">
        <f>20-AC117</f>
        <v>20</v>
      </c>
      <c r="AE117" s="153"/>
      <c r="AF117" s="154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314</v>
      </c>
      <c r="P118" s="144"/>
      <c r="Q118" s="144"/>
      <c r="R118" s="148"/>
      <c r="S118" s="149" t="s">
        <v>315</v>
      </c>
      <c r="T118" s="149"/>
      <c r="U118" s="144">
        <f t="shared" si="0"/>
        <v>0</v>
      </c>
      <c r="V118" s="150">
        <f t="shared" si="1"/>
        <v>0</v>
      </c>
      <c r="W118" s="146"/>
      <c r="X118" s="144"/>
      <c r="Y118" s="145"/>
      <c r="Z118" s="144"/>
      <c r="AA118" s="151"/>
      <c r="AB118" s="145"/>
      <c r="AC118" s="144"/>
      <c r="AD118" s="152"/>
      <c r="AE118" s="155"/>
      <c r="AF118" s="154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316</v>
      </c>
      <c r="P119" s="144"/>
      <c r="Q119" s="144"/>
      <c r="R119" s="148"/>
      <c r="S119" s="149" t="s">
        <v>317</v>
      </c>
      <c r="T119" s="149"/>
      <c r="U119" s="144">
        <f t="shared" si="0"/>
        <v>0</v>
      </c>
      <c r="V119" s="150">
        <f t="shared" si="1"/>
        <v>0</v>
      </c>
      <c r="W119" s="146"/>
      <c r="X119" s="144"/>
      <c r="Y119" s="145"/>
      <c r="Z119" s="144"/>
      <c r="AA119" s="151"/>
      <c r="AB119" s="145"/>
      <c r="AC119" s="144"/>
      <c r="AD119" s="152"/>
      <c r="AE119" s="156"/>
      <c r="AF119" s="154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318</v>
      </c>
      <c r="P120" s="144"/>
      <c r="Q120" s="144"/>
      <c r="R120" s="148"/>
      <c r="S120" s="149" t="s">
        <v>319</v>
      </c>
      <c r="T120" s="149"/>
      <c r="U120" s="144">
        <f t="shared" si="0"/>
        <v>0</v>
      </c>
      <c r="V120" s="150">
        <f t="shared" si="1"/>
        <v>0</v>
      </c>
      <c r="W120" s="146"/>
      <c r="X120" s="144"/>
      <c r="Y120" s="145"/>
      <c r="Z120" s="144"/>
      <c r="AA120" s="151"/>
      <c r="AB120" s="145"/>
      <c r="AC120" s="144"/>
      <c r="AD120" s="152"/>
      <c r="AE120" s="153" t="s">
        <v>205</v>
      </c>
      <c r="AF120" s="154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320</v>
      </c>
      <c r="P121" s="144"/>
      <c r="Q121" s="144"/>
      <c r="R121" s="148"/>
      <c r="S121" s="149" t="s">
        <v>321</v>
      </c>
      <c r="T121" s="149"/>
      <c r="U121" s="144">
        <f t="shared" si="0"/>
        <v>0</v>
      </c>
      <c r="V121" s="150">
        <f t="shared" si="1"/>
        <v>0</v>
      </c>
      <c r="W121" s="146"/>
      <c r="X121" s="144"/>
      <c r="Y121" s="145"/>
      <c r="Z121" s="144"/>
      <c r="AA121" s="151"/>
      <c r="AB121" s="145"/>
      <c r="AC121" s="144"/>
      <c r="AD121" s="152"/>
      <c r="AE121" s="156"/>
      <c r="AF121" s="154"/>
    </row>
    <row r="122" s="10" customFormat="1" ht="14.15" customHeight="1" spans="1:32">
      <c r="A122" s="144"/>
      <c r="B122" s="144" t="s">
        <v>322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323</v>
      </c>
      <c r="P122" s="144"/>
      <c r="Q122" s="144"/>
      <c r="R122" s="148"/>
      <c r="S122" s="149" t="s">
        <v>324</v>
      </c>
      <c r="T122" s="149"/>
      <c r="U122" s="144">
        <f t="shared" si="0"/>
        <v>0</v>
      </c>
      <c r="V122" s="150">
        <f t="shared" si="1"/>
        <v>0</v>
      </c>
      <c r="W122" s="146"/>
      <c r="X122" s="144"/>
      <c r="Y122" s="145"/>
      <c r="Z122" s="144"/>
      <c r="AA122" s="151"/>
      <c r="AB122" s="145"/>
      <c r="AC122" s="144"/>
      <c r="AD122" s="152"/>
      <c r="AE122" s="153"/>
      <c r="AF122" s="154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325</v>
      </c>
      <c r="P123" s="144"/>
      <c r="Q123" s="144"/>
      <c r="R123" s="148"/>
      <c r="S123" s="149" t="s">
        <v>326</v>
      </c>
      <c r="T123" s="149"/>
      <c r="U123" s="144">
        <f t="shared" si="0"/>
        <v>0</v>
      </c>
      <c r="V123" s="150">
        <f t="shared" si="1"/>
        <v>0</v>
      </c>
      <c r="W123" s="146"/>
      <c r="X123" s="144"/>
      <c r="Y123" s="145"/>
      <c r="Z123" s="144"/>
      <c r="AA123" s="151"/>
      <c r="AB123" s="145"/>
      <c r="AC123" s="144"/>
      <c r="AD123" s="152"/>
      <c r="AE123" s="155"/>
      <c r="AF123" s="154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327</v>
      </c>
      <c r="P124" s="144"/>
      <c r="Q124" s="144"/>
      <c r="R124" s="148"/>
      <c r="S124" s="149" t="s">
        <v>328</v>
      </c>
      <c r="T124" s="149"/>
      <c r="U124" s="144">
        <f t="shared" si="0"/>
        <v>0</v>
      </c>
      <c r="V124" s="150">
        <f t="shared" si="1"/>
        <v>0</v>
      </c>
      <c r="W124" s="146"/>
      <c r="X124" s="144"/>
      <c r="Y124" s="145"/>
      <c r="Z124" s="144"/>
      <c r="AA124" s="151"/>
      <c r="AB124" s="145"/>
      <c r="AC124" s="144"/>
      <c r="AD124" s="152"/>
      <c r="AE124" s="156"/>
      <c r="AF124" s="154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329</v>
      </c>
      <c r="P125" s="144"/>
      <c r="Q125" s="144"/>
      <c r="R125" s="148"/>
      <c r="S125" s="149" t="s">
        <v>330</v>
      </c>
      <c r="T125" s="149"/>
      <c r="U125" s="144">
        <f t="shared" si="0"/>
        <v>0</v>
      </c>
      <c r="V125" s="150">
        <f t="shared" si="1"/>
        <v>0</v>
      </c>
      <c r="W125" s="146"/>
      <c r="X125" s="144"/>
      <c r="Y125" s="145"/>
      <c r="Z125" s="144"/>
      <c r="AA125" s="151"/>
      <c r="AB125" s="145"/>
      <c r="AC125" s="144"/>
      <c r="AD125" s="152"/>
      <c r="AE125" s="153" t="s">
        <v>217</v>
      </c>
      <c r="AF125" s="154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331</v>
      </c>
      <c r="P126" s="144"/>
      <c r="Q126" s="144"/>
      <c r="R126" s="148"/>
      <c r="S126" s="149" t="s">
        <v>332</v>
      </c>
      <c r="T126" s="149"/>
      <c r="U126" s="144">
        <f t="shared" si="0"/>
        <v>0</v>
      </c>
      <c r="V126" s="150">
        <f t="shared" si="1"/>
        <v>0</v>
      </c>
      <c r="W126" s="146"/>
      <c r="X126" s="144"/>
      <c r="Y126" s="145"/>
      <c r="Z126" s="144"/>
      <c r="AA126" s="151"/>
      <c r="AB126" s="145"/>
      <c r="AC126" s="144"/>
      <c r="AD126" s="152"/>
      <c r="AE126" s="156"/>
      <c r="AF126" s="154"/>
    </row>
    <row r="127" s="10" customFormat="1" ht="14.15" customHeight="1" spans="1:32">
      <c r="A127" s="144" t="s">
        <v>333</v>
      </c>
      <c r="B127" s="144" t="s">
        <v>334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335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336</v>
      </c>
      <c r="P127" s="144"/>
      <c r="Q127" s="144"/>
      <c r="R127" s="148"/>
      <c r="S127" s="149" t="s">
        <v>337</v>
      </c>
      <c r="T127" s="149"/>
      <c r="U127" s="144">
        <f t="shared" si="0"/>
        <v>0</v>
      </c>
      <c r="V127" s="150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1">
        <v>170</v>
      </c>
      <c r="AB127" s="145">
        <f>125/Z127</f>
        <v>0.735294117647059</v>
      </c>
      <c r="AC127" s="144" t="s">
        <v>225</v>
      </c>
      <c r="AD127" s="152">
        <f>20-AC127</f>
        <v>20</v>
      </c>
      <c r="AE127" s="153"/>
      <c r="AF127" s="154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338</v>
      </c>
      <c r="P128" s="144"/>
      <c r="Q128" s="144"/>
      <c r="R128" s="148"/>
      <c r="S128" s="149" t="s">
        <v>339</v>
      </c>
      <c r="T128" s="149"/>
      <c r="U128" s="144">
        <f t="shared" si="0"/>
        <v>0</v>
      </c>
      <c r="V128" s="150">
        <f t="shared" si="1"/>
        <v>0</v>
      </c>
      <c r="W128" s="146"/>
      <c r="X128" s="144"/>
      <c r="Y128" s="145"/>
      <c r="Z128" s="144"/>
      <c r="AA128" s="151"/>
      <c r="AB128" s="145"/>
      <c r="AC128" s="144"/>
      <c r="AD128" s="152"/>
      <c r="AE128" s="155"/>
      <c r="AF128" s="154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340</v>
      </c>
      <c r="P129" s="144"/>
      <c r="Q129" s="144"/>
      <c r="R129" s="148"/>
      <c r="S129" s="149" t="s">
        <v>341</v>
      </c>
      <c r="T129" s="149"/>
      <c r="U129" s="144">
        <f t="shared" si="0"/>
        <v>0</v>
      </c>
      <c r="V129" s="150">
        <f t="shared" si="1"/>
        <v>0</v>
      </c>
      <c r="W129" s="146"/>
      <c r="X129" s="144"/>
      <c r="Y129" s="145"/>
      <c r="Z129" s="144"/>
      <c r="AA129" s="151"/>
      <c r="AB129" s="145"/>
      <c r="AC129" s="144"/>
      <c r="AD129" s="152"/>
      <c r="AE129" s="156"/>
      <c r="AF129" s="154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342</v>
      </c>
      <c r="P130" s="144"/>
      <c r="Q130" s="144"/>
      <c r="R130" s="148"/>
      <c r="S130" s="149" t="s">
        <v>343</v>
      </c>
      <c r="T130" s="149"/>
      <c r="U130" s="144">
        <f t="shared" si="0"/>
        <v>0</v>
      </c>
      <c r="V130" s="150">
        <f t="shared" si="1"/>
        <v>0</v>
      </c>
      <c r="W130" s="146"/>
      <c r="X130" s="144"/>
      <c r="Y130" s="145"/>
      <c r="Z130" s="144"/>
      <c r="AA130" s="151"/>
      <c r="AB130" s="145"/>
      <c r="AC130" s="144"/>
      <c r="AD130" s="152"/>
      <c r="AE130" s="153" t="s">
        <v>205</v>
      </c>
      <c r="AF130" s="154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344</v>
      </c>
      <c r="P131" s="144"/>
      <c r="Q131" s="144"/>
      <c r="R131" s="148"/>
      <c r="S131" s="149" t="s">
        <v>345</v>
      </c>
      <c r="T131" s="149"/>
      <c r="U131" s="144">
        <f t="shared" si="0"/>
        <v>0</v>
      </c>
      <c r="V131" s="150">
        <f t="shared" si="1"/>
        <v>0</v>
      </c>
      <c r="W131" s="146"/>
      <c r="X131" s="144"/>
      <c r="Y131" s="145"/>
      <c r="Z131" s="144"/>
      <c r="AA131" s="151"/>
      <c r="AB131" s="145"/>
      <c r="AC131" s="144"/>
      <c r="AD131" s="152"/>
      <c r="AE131" s="156"/>
      <c r="AF131" s="154"/>
    </row>
    <row r="132" s="10" customFormat="1" ht="14.15" customHeight="1" spans="1:32">
      <c r="A132" s="144"/>
      <c r="B132" s="144" t="s">
        <v>346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347</v>
      </c>
      <c r="P132" s="144"/>
      <c r="Q132" s="144"/>
      <c r="R132" s="148"/>
      <c r="S132" s="149" t="s">
        <v>348</v>
      </c>
      <c r="T132" s="149"/>
      <c r="U132" s="144">
        <f t="shared" si="0"/>
        <v>0</v>
      </c>
      <c r="V132" s="150">
        <f t="shared" si="1"/>
        <v>0</v>
      </c>
      <c r="W132" s="146"/>
      <c r="X132" s="144"/>
      <c r="Y132" s="145"/>
      <c r="Z132" s="144"/>
      <c r="AA132" s="151"/>
      <c r="AB132" s="145"/>
      <c r="AC132" s="144"/>
      <c r="AD132" s="152"/>
      <c r="AE132" s="153"/>
      <c r="AF132" s="154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349</v>
      </c>
      <c r="P133" s="144"/>
      <c r="Q133" s="144"/>
      <c r="R133" s="148"/>
      <c r="S133" s="149" t="s">
        <v>350</v>
      </c>
      <c r="T133" s="149"/>
      <c r="U133" s="144">
        <f t="shared" ref="U133:U136" si="2">R133*0.935</f>
        <v>0</v>
      </c>
      <c r="V133" s="150">
        <f t="shared" ref="V133:V136" si="3">U133/215</f>
        <v>0</v>
      </c>
      <c r="W133" s="146"/>
      <c r="X133" s="144"/>
      <c r="Y133" s="145"/>
      <c r="Z133" s="144"/>
      <c r="AA133" s="151"/>
      <c r="AB133" s="145"/>
      <c r="AC133" s="144"/>
      <c r="AD133" s="152"/>
      <c r="AE133" s="155"/>
      <c r="AF133" s="154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351</v>
      </c>
      <c r="P134" s="144"/>
      <c r="Q134" s="144"/>
      <c r="R134" s="148"/>
      <c r="S134" s="149" t="s">
        <v>352</v>
      </c>
      <c r="T134" s="149"/>
      <c r="U134" s="144">
        <f t="shared" si="2"/>
        <v>0</v>
      </c>
      <c r="V134" s="150">
        <f t="shared" si="3"/>
        <v>0</v>
      </c>
      <c r="W134" s="146"/>
      <c r="X134" s="144"/>
      <c r="Y134" s="145"/>
      <c r="Z134" s="144"/>
      <c r="AA134" s="151"/>
      <c r="AB134" s="145"/>
      <c r="AC134" s="144"/>
      <c r="AD134" s="152"/>
      <c r="AE134" s="156"/>
      <c r="AF134" s="154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353</v>
      </c>
      <c r="P135" s="144"/>
      <c r="Q135" s="144"/>
      <c r="R135" s="148"/>
      <c r="S135" s="149" t="s">
        <v>354</v>
      </c>
      <c r="T135" s="149"/>
      <c r="U135" s="144">
        <f t="shared" si="2"/>
        <v>0</v>
      </c>
      <c r="V135" s="150">
        <f t="shared" si="3"/>
        <v>0</v>
      </c>
      <c r="W135" s="146"/>
      <c r="X135" s="144"/>
      <c r="Y135" s="145"/>
      <c r="Z135" s="144"/>
      <c r="AA135" s="151"/>
      <c r="AB135" s="145"/>
      <c r="AC135" s="144"/>
      <c r="AD135" s="152"/>
      <c r="AE135" s="153" t="s">
        <v>217</v>
      </c>
      <c r="AF135" s="154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355</v>
      </c>
      <c r="P136" s="144"/>
      <c r="Q136" s="144"/>
      <c r="R136" s="148"/>
      <c r="S136" s="149" t="s">
        <v>356</v>
      </c>
      <c r="T136" s="149"/>
      <c r="U136" s="144">
        <f t="shared" si="2"/>
        <v>0</v>
      </c>
      <c r="V136" s="150">
        <f t="shared" si="3"/>
        <v>0</v>
      </c>
      <c r="W136" s="146"/>
      <c r="X136" s="144"/>
      <c r="Y136" s="145"/>
      <c r="Z136" s="144"/>
      <c r="AA136" s="151"/>
      <c r="AB136" s="145"/>
      <c r="AC136" s="144"/>
      <c r="AD136" s="152"/>
      <c r="AE136" s="156"/>
      <c r="AF136" s="154"/>
    </row>
    <row r="137" s="10" customFormat="1" ht="16.5" customHeight="1" spans="1:32">
      <c r="A137" s="144" t="s">
        <v>357</v>
      </c>
      <c r="B137" s="144" t="s">
        <v>358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359</v>
      </c>
      <c r="J137" s="159"/>
      <c r="K137" s="145">
        <f>J137/300</f>
        <v>0</v>
      </c>
      <c r="L137" s="144" t="s">
        <v>194</v>
      </c>
      <c r="M137" s="144"/>
      <c r="N137" s="14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9"/>
      <c r="K138" s="145"/>
      <c r="L138" s="144"/>
      <c r="M138" s="144"/>
      <c r="N138" s="14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9"/>
      <c r="K139" s="145"/>
      <c r="L139" s="144"/>
      <c r="M139" s="144"/>
      <c r="N139" s="14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9"/>
      <c r="K140" s="145"/>
      <c r="L140" s="144"/>
      <c r="M140" s="144"/>
      <c r="N140" s="14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9"/>
      <c r="K141" s="145"/>
      <c r="L141" s="144"/>
      <c r="M141" s="144"/>
      <c r="N141" s="14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 s="10" customFormat="1" ht="16.5" customHeight="1" spans="1:32">
      <c r="A142" s="144"/>
      <c r="B142" s="144" t="s">
        <v>360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361</v>
      </c>
      <c r="J142" s="144"/>
      <c r="K142" s="145">
        <f>J142/400</f>
        <v>0</v>
      </c>
      <c r="L142" s="144"/>
      <c r="M142" s="144"/>
      <c r="N142" s="14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 s="10" customFormat="1" ht="16.5" customHeight="1" spans="1:32">
      <c r="A147" s="144" t="s">
        <v>362</v>
      </c>
      <c r="B147" s="144" t="s">
        <v>363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364</v>
      </c>
      <c r="J147" s="144"/>
      <c r="K147" s="145">
        <f>J147/300</f>
        <v>0</v>
      </c>
      <c r="L147" s="144" t="s">
        <v>194</v>
      </c>
      <c r="M147" s="144"/>
      <c r="N147" s="14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 s="10" customFormat="1" ht="16.5" customHeight="1" spans="1:32">
      <c r="A152" s="144"/>
      <c r="B152" s="144" t="s">
        <v>365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366</v>
      </c>
      <c r="J152" s="144"/>
      <c r="K152" s="145">
        <f>J152/400</f>
        <v>0</v>
      </c>
      <c r="L152" s="144"/>
      <c r="M152" s="144"/>
      <c r="N152" s="14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{8d0aded1-4143-40f1-9ac0-5c38c8372908}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{83662cda-0437-427d-94dc-a322b0186e08}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{5288765b-381f-4792-9b78-d8b97f08ccbc}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{89cf19f1-adaa-4dba-b2f1-1e71f495ba90}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{dcd6313e-7496-4d6f-ada3-b28708696945}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{ee46d742-4306-4044-95ca-b7c8c10c3504}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{1b3b0fa0-6687-4d67-a48b-99ee3f67b9ce}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{885c77b9-4f22-4c7c-824c-54592ccce73c}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{39f193f4-360e-44ce-bc14-cf1569334ffa}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{c483943f-04e1-4bac-b5fe-339a4e0295d2}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{9775cfd3-279e-4f73-a20e-7021c3028507}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{3137a65b-ba1a-45d3-92a7-1afa408f69e6}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{a432d611-02ec-4e9f-98b8-9258b963c298}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{2933fba9-a965-4f74-9cff-a41e72ace753}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{cbab823d-1fe4-491c-b17f-6af014278bc9}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{e2f5da0f-7716-49f2-b4af-3870cdf0edd2}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{648716b2-f99f-4ca8-90b3-5a3ff78be3a3}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{a3bfbf76-1d83-457b-a087-24195c5bd539}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{0c10358d-f3a0-491b-bd4c-f5e6a80e0077}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{ce73792d-35a9-4b6a-84b1-13e971da357d}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{61e388e1-99c7-429a-a438-1241459e5913}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{60125260-b435-4317-a57a-cccb46648748}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{3e96df0c-f2bb-46ab-ad29-3346f60506e6}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{b478b4f9-8986-433d-b3c8-28fb7666bd97}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{ed25741f-43f9-467e-bfbb-d1af30557257}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{255b0ca1-f509-4178-8961-00782ffe475d}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{97ec7b1b-4a50-4506-9c92-d45ff9945b94}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{ef7e9dd1-7d75-4b6c-a694-41efd28a287b}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{aa71b0f2-f7e2-4124-8f6b-8c9bc2364341}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{b49bc04f-4fad-4403-894e-4d49b990c5e4}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{f8cd7a0b-a42f-484b-ab3b-a747ad377445}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{c2c620b6-103f-4fbe-884d-d7ba26efa313}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{74106557-f1d6-4fa7-a3ad-33d638239944}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{f70af14b-465b-41d6-8a56-5e5e925bc2d7}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{9d2b5d6d-e308-4e22-b764-14de0e953154}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{24f9f3d5-ed75-4e62-8cc6-4b299c5642d0}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{67fbae23-352c-4d31-9a2f-0a7f3d652e10}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{ca67e61f-4df2-45e0-bb01-90618c985762}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{59064ea0-31b8-4ff7-89da-54aabc24a7d6}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{e9d0d1da-3b3c-43a3-850a-aab851325ad5}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{f9a87c6b-1728-4cd9-81de-47524608b26e}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{5e992cfd-7f1f-4f7e-86d1-33fb5deb5e56}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{65c77e2a-e537-4763-be31-80c98e8eebef}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{8e4c1331-0eba-45a3-91e8-f428297fa27b}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{a2960452-8125-4c3d-9f81-ff8b7e9ef4e3}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{d99cfe6c-a537-4444-93d1-2e014c6e4b5d}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{6ae1e5a7-8809-4a97-b781-6085af36b69e}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{d9e08674-fb17-4803-aef1-16b8de7fd683}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{6df1fac9-f4e6-4e1f-bfd2-e5fdb062afa7}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{ae129520-1b46-4391-95cd-2cd1016a5d97}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{9347ac97-e345-45b6-984e-012eca7b3690}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{0c6a9090-9a77-437a-b36c-076667f14979}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{a3c209ef-e149-4997-9284-e1712e04c511}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{99fab01f-8766-402b-840e-11c4ecd19a30}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{39902288-69af-4e9b-b677-e266e8dbf020}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{e7e26f93-1d9a-492d-abae-4a0cc0a9570f}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{60330284-ca3e-4db5-8167-31322af2fbd7}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{25fc206f-700f-4957-ae70-930d9b1a0d53}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{dd8e3bca-3075-4346-8b30-b198a6ef45ec}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{61e2dc8b-b332-432c-bf46-af2f903cd0e8}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{39f2229e-d525-468b-bb7b-fd6901200396}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{73be0989-7a90-4b8b-b2ad-46e67260a956}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{e420d26c-7450-489b-a295-d7ef02fd8d55}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{e178d636-18f2-409d-add0-575545e202b2}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{1bf3d859-9e37-4a27-9a68-e06202d20170}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{66daf283-2bf2-4750-83d9-663b81b8005c}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{79b2658f-e5e2-437a-9806-821109e248a6}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{4a3ba873-d863-490b-9489-cfdf5b235be0}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{6a2306b9-bdfb-4588-bac8-a126ae932caa}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{9a5fa538-4003-4ca7-8598-74b76865fa85}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{d4139a92-0c82-4f24-9db2-2e161d3634fa}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{38acd70b-d4ff-4ccf-ae21-7e86366e77fc}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{624d3da9-81f0-420b-ba55-351e633b6c05}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{56995fcb-30e6-4f37-bd68-64936d8f1f6a}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{66d95c7c-5929-4b1f-98f9-8e3872dcb10b}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{e02b969d-dfcd-4dc4-be76-75444ee20285}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{2e20262f-6769-4b25-bd93-7a71b7793350}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{72470def-0ab8-417f-a9e9-8286fe31cef4}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{17d57a83-718e-41bb-8b00-43ce4543e505}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{e90c9e35-a0bf-4040-8309-3d76e1d887ec}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{9d5a571b-df9d-498a-918a-99e632300ed8}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{614f3d13-ea59-4e5b-9110-00cd04cb2661}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{1409329f-dae1-4f18-b8a3-bd7ac8271eab}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{9419a1b5-91a5-4199-aa72-9defc34c1275}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{dcc515c2-0d09-4a30-a54a-19c7dbd78334}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{2807c010-cb44-4700-9e8e-7f6eb358d7c6}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{6e51a2ad-aa5f-4121-bda6-80ed2c4df6d2}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{a30a34dd-d3ea-4433-946a-a5c4656fc47c}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{74943210-1894-4cca-a91c-9bb7d9f2fd75}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{db925445-2b0e-41e0-8b1e-3b217ef1abf6}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{37e6c090-f06d-4de9-82df-adbd7a20fce2}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{7c2ffc11-9213-4471-b56e-032e5deac7bd}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{5980e0f8-64e2-4145-8186-a9be4c931a6f}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{6ed04b1b-00c9-4fae-ac3b-3aa64c514c17}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{478e5895-4295-4e9f-b814-6299289721e5}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{239a24bb-dea8-48d3-943f-fec256f4db45}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{d973b141-ce96-4cee-a3c5-663b59d9dd7c}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{2dbbc97d-1fe6-436f-a01e-76a5005a245d}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{41b050dd-66ff-4e91-a5f5-abc6841d88a6}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{ac6dafd8-28fe-4f06-924a-9917f8ec1a2a}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{0996a186-1fdf-4c39-b60f-59d930ba3cab}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{e51cd375-1cfc-4ac3-80e3-c641f53c3738}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{6cb343c7-d842-4f02-ae99-1da199a65b26}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{83957e30-1c44-4fbf-a367-de62d57322d6}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{34004ebd-2745-4e67-91dd-b5979c7ef204}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{5cf0402c-56eb-432d-82c1-f2eac8075ae4}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{41f04223-b2f7-4fea-a1ac-45b5b5cdeb26}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0aded1-4143-40f1-9ac0-5c38c837290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3662cda-0437-427d-94dc-a322b0186e0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288765b-381f-4792-9b78-d8b97f08ccbc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9cf19f1-adaa-4dba-b2f1-1e71f495ba9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cd6313e-7496-4d6f-ada3-b2870869694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e46d742-4306-4044-95ca-b7c8c10c350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b3b0fa0-6687-4d67-a48b-99ee3f67b9c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85c77b9-4f22-4c7c-824c-54592ccce73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39f193f4-360e-44ce-bc14-cf1569334ff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483943f-04e1-4bac-b5fe-339a4e0295d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775cfd3-279e-4f73-a20e-7021c302850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137a65b-ba1a-45d3-92a7-1afa408f69e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432d611-02ec-4e9f-98b8-9258b963c29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933fba9-a965-4f74-9cff-a41e72ace75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bab823d-1fe4-491c-b17f-6af014278bc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2f5da0f-7716-49f2-b4af-3870cdf0edd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648716b2-f99f-4ca8-90b3-5a3ff78be3a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3bfbf76-1d83-457b-a087-24195c5bd53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c10358d-f3a0-491b-bd4c-f5e6a80e007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e73792d-35a9-4b6a-84b1-13e971da357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1e388e1-99c7-429a-a438-1241459e591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0125260-b435-4317-a57a-cccb4664874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e96df0c-f2bb-46ab-ad29-3346f60506e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478b4f9-8986-433d-b3c8-28fb7666bd9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ed25741f-43f9-467e-bfbb-d1af3055725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55b0ca1-f509-4178-8961-00782ffe475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7ec7b1b-4a50-4506-9c92-d45ff9945b9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f7e9dd1-7d75-4b6c-a694-41efd28a287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a71b0f2-f7e2-4124-8f6b-8c9bc236434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49bc04f-4fad-4403-894e-4d49b990c5e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8cd7a0b-a42f-484b-ab3b-a747ad37744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2c620b6-103f-4fbe-884d-d7ba26efa31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74106557-f1d6-4fa7-a3ad-33d63823994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70af14b-465b-41d6-8a56-5e5e925bc2d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d2b5d6d-e308-4e22-b764-14de0e95315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4f9f3d5-ed75-4e62-8cc6-4b299c5642d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7fbae23-352c-4d31-9a2f-0a7f3d652e1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a67e61f-4df2-45e0-bb01-90618c98576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9064ea0-31b8-4ff7-89da-54aabc24a7d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9d0d1da-3b3c-43a3-850a-aab851325ad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f9a87c6b-1728-4cd9-81de-47524608b26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e992cfd-7f1f-4f7e-86d1-33fb5deb5e5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5c77e2a-e537-4763-be31-80c98e8eebe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e4c1331-0eba-45a3-91e8-f428297fa27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2960452-8125-4c3d-9f81-ff8b7e9ef4e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99cfe6c-a537-4444-93d1-2e014c6e4b5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ae1e5a7-8809-4a97-b781-6085af36b69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9e08674-fb17-4803-aef1-16b8de7fd68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6df1fac9-f4e6-4e1f-bfd2-e5fdb062afa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129520-1b46-4391-95cd-2cd1016a5d9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347ac97-e345-45b6-984e-012eca7b369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0c6a9090-9a77-437a-b36c-076667f1497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c209ef-e149-4997-9284-e1712e04c51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9fab01f-8766-402b-840e-11c4ecd19a3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39902288-69af-4e9b-b677-e266e8dbf02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7e26f93-1d9a-492d-abae-4a0cc0a9570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60330284-ca3e-4db5-8167-31322af2fbd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fc206f-700f-4957-ae70-930d9b1a0d5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d8e3bca-3075-4346-8b30-b198a6ef45e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61e2dc8b-b332-432c-bf46-af2f903cd0e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f2229e-d525-468b-bb7b-fd690120039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3be0989-7a90-4b8b-b2ad-46e67260a95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e420d26c-7450-489b-a295-d7ef02fd8d5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78d636-18f2-409d-add0-575545e202b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bf3d859-9e37-4a27-9a68-e06202d2017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66daf283-2bf2-4750-83d9-663b81b8005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b2658f-e5e2-437a-9806-821109e248a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a3ba873-d863-490b-9489-cfdf5b235be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6a2306b9-bdfb-4588-bac8-a126ae932ca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fa538-4003-4ca7-8598-74b76865fa8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4139a92-0c82-4f24-9db2-2e161d3634f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38acd70b-d4ff-4ccf-ae21-7e86366e77f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24d3da9-81f0-420b-ba55-351e633b6c0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6995fcb-30e6-4f37-bd68-64936d8f1f6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6d95c7c-5929-4b1f-98f9-8e3872dcb10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02b969d-dfcd-4dc4-be76-75444ee2028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e20262f-6769-4b25-bd93-7a71b779335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2470def-0ab8-417f-a9e9-8286fe31cef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7d57a83-718e-41bb-8b00-43ce4543e50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e90c9e35-a0bf-4040-8309-3d76e1d887e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5a571b-df9d-498a-918a-99e632300ed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614f3d13-ea59-4e5b-9110-00cd04cb266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1409329f-dae1-4f18-b8a3-bd7ac8271ea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9419a1b5-91a5-4199-aa72-9defc34c127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dcc515c2-0d09-4a30-a54a-19c7dbd7833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2807c010-cb44-4700-9e8e-7f6eb358d7c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51a2ad-aa5f-4121-bda6-80ed2c4df6d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30a34dd-d3ea-4433-946a-a5c4656fc47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74943210-1894-4cca-a91c-9bb7d9f2fd7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25445-2b0e-41e0-8b1e-3b217ef1abf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7e6c090-f06d-4de9-82df-adbd7a20fce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7c2ffc11-9213-4471-b56e-032e5deac7b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80e0f8-64e2-4145-8186-a9be4c931a6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ed04b1b-00c9-4fae-ac3b-3aa64c514c1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478e5895-4295-4e9f-b814-6299289721e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9a24bb-dea8-48d3-943f-fec256f4db4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973b141-ce96-4cee-a3c5-663b59d9dd7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2dbbc97d-1fe6-436f-a01e-76a5005a245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050dd-66ff-4e91-a5f5-abc6841d88a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ac6dafd8-28fe-4f06-924a-9917f8ec1a2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96a186-1fdf-4c39-b60f-59d930ba3ca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51cd375-1cfc-4ac3-80e3-c641f53c373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6cb343c7-d842-4f02-ae99-1da199a65b2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957e30-1c44-4fbf-a367-de62d57322d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4004ebd-2745-4e67-91dd-b5979c7ef20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5cf0402c-56eb-432d-82c1-f2eac8075ae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f04223-b2f7-4fea-a1ac-45b5b5cdeb2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367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  <c r="J1" s="3" t="s">
        <v>376</v>
      </c>
      <c r="K1" s="3" t="s">
        <v>377</v>
      </c>
      <c r="L1" s="3" t="s">
        <v>378</v>
      </c>
      <c r="M1" s="3" t="s">
        <v>379</v>
      </c>
      <c r="N1" s="3" t="s">
        <v>380</v>
      </c>
      <c r="O1" s="3" t="s">
        <v>381</v>
      </c>
      <c r="P1" s="3" t="s">
        <v>382</v>
      </c>
      <c r="Q1" s="3" t="s">
        <v>383</v>
      </c>
      <c r="R1" s="3" t="s">
        <v>384</v>
      </c>
    </row>
    <row r="2" spans="1:18">
      <c r="A2" s="3" t="s">
        <v>385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386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387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388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2026-06-05T10:57:34Z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