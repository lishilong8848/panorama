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<sst xmlns="http://schemas.openxmlformats.org/spreadsheetml/2006/main" count="681" uniqueCount="389">
  <si>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</si>
  <si>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</si>
  <si>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</si>
  <si>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</si>
  <si>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</si>
  <si>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</si>
  <si>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</si>
  <si>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</si>
  <si>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</si>
  <si>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</si>
  <si>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</si>
  <si>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</si>
  <si>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</si>
  <si>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</si>
  <si>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</si>
  <si>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</si>
  <si>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</si>
  <si>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</si>
  <si>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</si>
  <si>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</si>
  <si>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</si>
  <si>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</si>
  <si>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</si>
  <si>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</si>
  <si>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</si>
  <si>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</si>
  <si>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</si>
  <si>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</si>
  <si>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</si>
  <si>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</si>
  <si>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</si>
  <si>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</si>
  <si>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</si>
  <si>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</si>
  <si>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</si>
  <si>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</si>
  <si>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</si>
  <si>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</si>
  <si>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</si>
  <si>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</si>
  <si>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</si>
  <si>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</si>
  <si>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</si>
  <si>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</si>
  <si>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</si>
  <si>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</si>
  <si>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</si>
  <si>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</si>
  <si>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</si>
  <si>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</si>
  <si>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</si>
  <si>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</si>
  <si>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</si>
  <si>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</si>
  <si>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</si>
  <si>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</si>
  <si>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</si>
  <si>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</si>
  <si>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</si>
  <si>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</si>
  <si>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</si>
  <si>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</si>
  <si>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</si>
  <si>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</si>
  <si>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</si>
  <si>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</si>
  <si>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</si>
  <si>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</si>
  <si>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</si>
  <si>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</si>
  <si>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</si>
  <si>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</si>
  <si>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</si>
  <si>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</si>
  <si>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</si>
  <si>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</si>
  <si>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</si>
  <si>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</si>
  <si>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</si>
  <si>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</si>
  <si>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</si>
  <si>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</si>
  <si>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</si>
  <si>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</si>
  <si>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</si>
  <si>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</si>
  <si>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</si>
  <si>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</si>
  <si>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</si>
  <si>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</si>
  <si>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</si>
  <si>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</si>
  <si>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</si>
  <si>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</si>
  <si>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</si>
  <si>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</si>
  <si>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</si>
  <si>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</si>
  <si>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</si>
  <si>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</si>
  <si>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</si>
  <si>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</si>
  <si>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</si>
  <si>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</si>
  <si>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</si>
  <si>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</si>
  <si>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</si>
  <si>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</si>
  <si>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</si>
  <si>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</si>
  <si>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</si>
  <si>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</si>
  <si>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</si>
  <si>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</si>
  <si>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</si>
  <si>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</si>
  <si>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</si>
  <si>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</si>
  <si>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</si>
  <si>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</si>
  <si>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</si>
  <si>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</si>
  <si>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</si>
  <si>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</si>
  <si>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</si>
  <si>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</si>
  <si>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</si>
  <si>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</si>
  <si>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</si>
  <si>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</si>
  <si>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</si>
  <si>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</si>
  <si>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</si>
  <si>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</si>
  <si>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</si>
  <si>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</si>
  <si>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</si>
  <si>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</si>
  <si>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</si>
  <si>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</si>
  <si>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</si>
  <si>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</si>
  <si>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</si>
  <si>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</si>
  <si>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</si>
  <si>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</si>
  <si>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</si>
  <si>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</si>
  <si>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</si>
  <si>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</si>
  <si>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</si>
  <si>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</si>
  <si>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</si>
  <si>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</si>
  <si>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</si>
  <si>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</si>
  <si>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</si>
  <si>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</si>
  <si>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</si>
  <si>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</si>
  <si>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</si>
  <si>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</si>
  <si>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</si>
  <si>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</si>
  <si>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</si>
  <si>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</si>
  <si>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</si>
  <si>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</si>
  <si>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</si>
  <si>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</si>
  <si>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</si>
  <si>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</si>
  <si>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</si>
  <si>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</si>
  <si>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</si>
  <si>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</si>
  <si>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</si>
  <si>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</si>
  <si>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</si>
  <si>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</si>
  <si>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</si>
  <si>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</si>
  <si>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</si>
  <si>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</si>
  <si>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</si>
  <si>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</si>
  <si>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</si>
  <si>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</si>
  <si>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</si>
  <si>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</si>
  <si>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</si>
  <si>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</si>
  <si>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</si>
  <si>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</si>
  <si>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</si>
  <si>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</si>
  <si>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</si>
  <si>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</si>
  <si>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</si>
  <si>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</si>
  <si>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</si>
  <si>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</si>
  <si>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</si>
  <si>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</si>
  <si>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</si>
  <si>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</si>
  <si>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</si>
  <si>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</si>
  <si>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</si>
  <si>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</si>
  <si>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</si>
  <si>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</si>
  <si>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</si>
  <si>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</si>
  <si>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</si>
  <si>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</si>
  <si>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</si>
  <si>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</si>
  <si>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</si>
  <si>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</si>
  <si>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</si>
  <si>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</si>
  <si>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</si>
  <si>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</si>
  <si>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</si>
  <si>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>0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</si>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</sst>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60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55" zoomScaleNormal="85" topLeftCell="A6" workbookViewId="0">
      <selection activeCell="L36" sqref="L36:L37"/>
    </sheetView>
  </sheetViews>
  <sheetFormatPr defaultColWidth="9" defaultRowHeight="14"/>
  <cols>
    <col min="2" max="2" width="18.1818181818182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38.1818181818182" style="1" customWidth="1"/>
    <col min="16" max="18" width="9" style="1" customWidth="1"/>
    <col min="19" max="19" width="12.5909090909091" style="1" customWidth="1"/>
    <col min="20" max="20" width="16.5090909090909" style="1" customWidth="1"/>
    <col min="21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7.4181818181818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>
        <f>(U13-U12)/100</f>
        <v>0</v>
      </c>
      <c r="V14" s="69"/>
      <c r="W14" s="70"/>
      <c r="X14" s="68">
        <f>(X13-X12)/100</f>
        <v>0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7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/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/>
      <c r="M25" s="84" t="s">
        <v>76</v>
      </c>
      <c r="N25" s="88"/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/>
      <c r="Z25" s="84" t="s">
        <v>76</v>
      </c>
      <c r="AA25" s="88"/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/>
      <c r="M26" s="84" t="s">
        <v>83</v>
      </c>
      <c r="N26" s="93">
        <f>I29</f>
        <v>0</v>
      </c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/>
      <c r="Z26" s="84" t="s">
        <v>83</v>
      </c>
      <c r="AA26" s="93">
        <f>V29</f>
        <v>0</v>
      </c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>
        <v>18</v>
      </c>
      <c r="G28" s="15"/>
      <c r="H28" s="84" t="s">
        <v>87</v>
      </c>
      <c r="I28" s="100"/>
      <c r="J28" s="100"/>
      <c r="K28" s="84" t="s">
        <v>88</v>
      </c>
      <c r="L28" s="88"/>
      <c r="M28" s="84" t="s">
        <v>89</v>
      </c>
      <c r="N28" s="88">
        <f>N25-N26</f>
        <v>0</v>
      </c>
      <c r="O28" s="55"/>
      <c r="P28" s="84" t="s">
        <v>85</v>
      </c>
      <c r="Q28" s="92" t="s">
        <v>15</v>
      </c>
      <c r="R28" s="84" t="s">
        <v>86</v>
      </c>
      <c r="S28" s="74">
        <v>18</v>
      </c>
      <c r="T28" s="15"/>
      <c r="U28" s="84" t="s">
        <v>87</v>
      </c>
      <c r="V28" s="100"/>
      <c r="W28" s="74"/>
      <c r="X28" s="84" t="s">
        <v>88</v>
      </c>
      <c r="Y28" s="101"/>
      <c r="Z28" s="84" t="s">
        <v>89</v>
      </c>
      <c r="AA28" s="88">
        <f>AA25-AA26</f>
        <v>0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/>
      <c r="M29" s="84" t="s">
        <v>95</v>
      </c>
      <c r="N29" s="88"/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/>
      <c r="Z29" s="84" t="s">
        <v>95</v>
      </c>
      <c r="AA29" s="88"/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>
        <f>L29-L25</f>
        <v>0</v>
      </c>
      <c r="M30" s="84" t="s">
        <v>101</v>
      </c>
      <c r="N30" s="88"/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>
        <f>Y29-Y25</f>
        <v>0</v>
      </c>
      <c r="Z30" s="84" t="s">
        <v>101</v>
      </c>
      <c r="AA30" s="88"/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>
        <f>N29-N30</f>
        <v>0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/>
      <c r="M35" s="104" t="s">
        <v>76</v>
      </c>
      <c r="N35" s="107"/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/>
      <c r="Z35" s="104" t="s">
        <v>76</v>
      </c>
      <c r="AA35" s="106"/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/>
      <c r="M36" s="104" t="s">
        <v>83</v>
      </c>
      <c r="N36" s="107">
        <f>I39</f>
        <v>0</v>
      </c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/>
      <c r="Z36" s="104" t="s">
        <v>83</v>
      </c>
      <c r="AA36" s="106">
        <f>V39</f>
        <v>0</v>
      </c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>
        <v>18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/>
      <c r="M38" s="104" t="s">
        <v>89</v>
      </c>
      <c r="N38" s="107">
        <f>N35-N36</f>
        <v>0</v>
      </c>
      <c r="O38" s="55"/>
      <c r="P38" s="104" t="s">
        <v>85</v>
      </c>
      <c r="Q38" s="92" t="s">
        <v>15</v>
      </c>
      <c r="R38" s="104" t="s">
        <v>86</v>
      </c>
      <c r="S38" s="106">
        <v>18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/>
      <c r="Z38" s="104" t="s">
        <v>89</v>
      </c>
      <c r="AA38" s="106">
        <f>AA35-AA36</f>
        <v>0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/>
      <c r="J39" s="106" t="s">
        <v>15</v>
      </c>
      <c r="K39" s="104" t="s">
        <v>94</v>
      </c>
      <c r="L39" s="106"/>
      <c r="M39" s="104" t="s">
        <v>95</v>
      </c>
      <c r="N39" s="107"/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/>
      <c r="W39" s="106" t="s">
        <v>15</v>
      </c>
      <c r="X39" s="104" t="s">
        <v>94</v>
      </c>
      <c r="Y39" s="106"/>
      <c r="Z39" s="104" t="s">
        <v>95</v>
      </c>
      <c r="AA39" s="106"/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>
        <f>L39-L35</f>
        <v>0</v>
      </c>
      <c r="M40" s="104" t="s">
        <v>101</v>
      </c>
      <c r="N40" s="107"/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>
        <f>Y39-Y35</f>
        <v>0</v>
      </c>
      <c r="Z40" s="104" t="s">
        <v>101</v>
      </c>
      <c r="AA40" s="106"/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>
        <f>N39-N40</f>
        <v>0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>
        <f>AA39-AA40</f>
        <v>0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5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50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1">
        <v>168</v>
      </c>
      <c r="AB69" s="145">
        <f>67/Z69</f>
        <v>0.394117647058824</v>
      </c>
      <c r="AC69" s="152">
        <v>0</v>
      </c>
      <c r="AD69" s="152">
        <f>20-AC69</f>
        <v>20</v>
      </c>
      <c r="AE69" s="153" t="s">
        <v>199</v>
      </c>
      <c r="AF69" s="154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200</v>
      </c>
      <c r="P70" s="144"/>
      <c r="Q70" s="144"/>
      <c r="R70" s="148"/>
      <c r="S70" s="149" t="s">
        <v>201</v>
      </c>
      <c r="T70" s="149"/>
      <c r="U70" s="144">
        <f t="shared" si="0"/>
        <v>0</v>
      </c>
      <c r="V70" s="150">
        <f t="shared" si="1"/>
        <v>0</v>
      </c>
      <c r="W70" s="146"/>
      <c r="X70" s="144"/>
      <c r="Y70" s="145"/>
      <c r="Z70" s="144"/>
      <c r="AA70" s="151"/>
      <c r="AB70" s="145"/>
      <c r="AC70" s="152"/>
      <c r="AD70" s="152"/>
      <c r="AE70" s="155"/>
      <c r="AF70" s="154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202</v>
      </c>
      <c r="P71" s="144"/>
      <c r="Q71" s="144"/>
      <c r="R71" s="148"/>
      <c r="S71" s="149" t="s">
        <v>203</v>
      </c>
      <c r="T71" s="149"/>
      <c r="U71" s="144">
        <f t="shared" si="0"/>
        <v>0</v>
      </c>
      <c r="V71" s="150">
        <f t="shared" si="1"/>
        <v>0</v>
      </c>
      <c r="W71" s="146"/>
      <c r="X71" s="144"/>
      <c r="Y71" s="145"/>
      <c r="Z71" s="144"/>
      <c r="AA71" s="151"/>
      <c r="AB71" s="145"/>
      <c r="AC71" s="152"/>
      <c r="AD71" s="152"/>
      <c r="AE71" s="156"/>
      <c r="AF71" s="154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204</v>
      </c>
      <c r="P72" s="144"/>
      <c r="Q72" s="144"/>
      <c r="R72" s="148"/>
      <c r="S72" s="149" t="s">
        <v>205</v>
      </c>
      <c r="T72" s="149"/>
      <c r="U72" s="144">
        <f t="shared" si="0"/>
        <v>0</v>
      </c>
      <c r="V72" s="150">
        <f t="shared" si="1"/>
        <v>0</v>
      </c>
      <c r="W72" s="146"/>
      <c r="X72" s="144"/>
      <c r="Y72" s="145"/>
      <c r="Z72" s="144"/>
      <c r="AA72" s="151"/>
      <c r="AB72" s="145"/>
      <c r="AC72" s="152"/>
      <c r="AD72" s="152"/>
      <c r="AE72" s="153"/>
      <c r="AF72" s="154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50">
        <f t="shared" si="1"/>
        <v>0</v>
      </c>
      <c r="W73" s="146"/>
      <c r="X73" s="144"/>
      <c r="Y73" s="145"/>
      <c r="Z73" s="144"/>
      <c r="AA73" s="151"/>
      <c r="AB73" s="145"/>
      <c r="AC73" s="152"/>
      <c r="AD73" s="152"/>
      <c r="AE73" s="156"/>
      <c r="AF73" s="154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50">
        <f t="shared" si="1"/>
        <v>0</v>
      </c>
      <c r="W74" s="146"/>
      <c r="X74" s="144"/>
      <c r="Y74" s="145"/>
      <c r="Z74" s="144"/>
      <c r="AA74" s="151"/>
      <c r="AB74" s="145"/>
      <c r="AC74" s="152"/>
      <c r="AD74" s="152"/>
      <c r="AE74" s="153" t="s">
        <v>211</v>
      </c>
      <c r="AF74" s="154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212</v>
      </c>
      <c r="P75" s="144"/>
      <c r="Q75" s="144"/>
      <c r="R75" s="148"/>
      <c r="S75" s="149" t="s">
        <v>213</v>
      </c>
      <c r="T75" s="149"/>
      <c r="U75" s="144">
        <f t="shared" si="0"/>
        <v>0</v>
      </c>
      <c r="V75" s="150">
        <f t="shared" si="1"/>
        <v>0</v>
      </c>
      <c r="W75" s="146"/>
      <c r="X75" s="144"/>
      <c r="Y75" s="145"/>
      <c r="Z75" s="144"/>
      <c r="AA75" s="151"/>
      <c r="AB75" s="145"/>
      <c r="AC75" s="152"/>
      <c r="AD75" s="152"/>
      <c r="AE75" s="155"/>
      <c r="AF75" s="154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214</v>
      </c>
      <c r="P76" s="144"/>
      <c r="Q76" s="144"/>
      <c r="R76" s="148"/>
      <c r="S76" s="149" t="s">
        <v>215</v>
      </c>
      <c r="T76" s="149"/>
      <c r="U76" s="144">
        <f t="shared" si="0"/>
        <v>0</v>
      </c>
      <c r="V76" s="150">
        <f t="shared" si="1"/>
        <v>0</v>
      </c>
      <c r="W76" s="146"/>
      <c r="X76" s="144"/>
      <c r="Y76" s="145"/>
      <c r="Z76" s="144"/>
      <c r="AA76" s="151"/>
      <c r="AB76" s="145"/>
      <c r="AC76" s="152"/>
      <c r="AD76" s="152"/>
      <c r="AE76" s="156"/>
      <c r="AF76" s="154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216</v>
      </c>
      <c r="P77" s="144"/>
      <c r="Q77" s="144"/>
      <c r="R77" s="148"/>
      <c r="S77" s="149" t="s">
        <v>217</v>
      </c>
      <c r="T77" s="149"/>
      <c r="U77" s="144">
        <f t="shared" si="0"/>
        <v>0</v>
      </c>
      <c r="V77" s="150">
        <f t="shared" si="1"/>
        <v>0</v>
      </c>
      <c r="W77" s="146"/>
      <c r="X77" s="144"/>
      <c r="Y77" s="145"/>
      <c r="Z77" s="144"/>
      <c r="AA77" s="151"/>
      <c r="AB77" s="145"/>
      <c r="AC77" s="152"/>
      <c r="AD77" s="152"/>
      <c r="AE77" s="153"/>
      <c r="AF77" s="154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50">
        <f t="shared" si="1"/>
        <v>0</v>
      </c>
      <c r="W78" s="146"/>
      <c r="X78" s="144"/>
      <c r="Y78" s="145"/>
      <c r="Z78" s="144"/>
      <c r="AA78" s="151"/>
      <c r="AB78" s="145"/>
      <c r="AC78" s="152"/>
      <c r="AD78" s="152"/>
      <c r="AE78" s="156"/>
      <c r="AF78" s="154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7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50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1">
        <v>170</v>
      </c>
      <c r="AB79" s="145">
        <f>77/Z79</f>
        <v>0.452941176470588</v>
      </c>
      <c r="AC79" s="144" t="s">
        <v>225</v>
      </c>
      <c r="AD79" s="152">
        <f>20-AC79</f>
        <v>20</v>
      </c>
      <c r="AE79" s="153" t="s">
        <v>199</v>
      </c>
      <c r="AF79" s="154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7"/>
      <c r="J80" s="144"/>
      <c r="K80" s="145"/>
      <c r="L80" s="144"/>
      <c r="M80" s="144"/>
      <c r="N80" s="144"/>
      <c r="O80" s="147" t="s">
        <v>226</v>
      </c>
      <c r="P80" s="144"/>
      <c r="Q80" s="144"/>
      <c r="R80" s="148"/>
      <c r="S80" s="149" t="s">
        <v>227</v>
      </c>
      <c r="T80" s="149"/>
      <c r="U80" s="144">
        <f t="shared" si="0"/>
        <v>0</v>
      </c>
      <c r="V80" s="150">
        <f t="shared" si="1"/>
        <v>0</v>
      </c>
      <c r="W80" s="146"/>
      <c r="X80" s="144"/>
      <c r="Y80" s="145"/>
      <c r="Z80" s="144"/>
      <c r="AA80" s="151"/>
      <c r="AB80" s="145"/>
      <c r="AC80" s="144"/>
      <c r="AD80" s="152"/>
      <c r="AE80" s="155"/>
      <c r="AF80" s="154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7"/>
      <c r="J81" s="144"/>
      <c r="K81" s="145"/>
      <c r="L81" s="144"/>
      <c r="M81" s="144"/>
      <c r="N81" s="144"/>
      <c r="O81" s="147" t="s">
        <v>228</v>
      </c>
      <c r="P81" s="144"/>
      <c r="Q81" s="144"/>
      <c r="R81" s="148"/>
      <c r="S81" s="149" t="s">
        <v>229</v>
      </c>
      <c r="T81" s="149"/>
      <c r="U81" s="144">
        <f t="shared" si="0"/>
        <v>0</v>
      </c>
      <c r="V81" s="150">
        <f t="shared" si="1"/>
        <v>0</v>
      </c>
      <c r="W81" s="146"/>
      <c r="X81" s="144"/>
      <c r="Y81" s="145"/>
      <c r="Z81" s="144"/>
      <c r="AA81" s="151"/>
      <c r="AB81" s="145"/>
      <c r="AC81" s="144"/>
      <c r="AD81" s="152"/>
      <c r="AE81" s="156"/>
      <c r="AF81" s="154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7"/>
      <c r="J82" s="144"/>
      <c r="K82" s="145"/>
      <c r="L82" s="144"/>
      <c r="M82" s="144"/>
      <c r="N82" s="144"/>
      <c r="O82" s="147" t="s">
        <v>230</v>
      </c>
      <c r="P82" s="144"/>
      <c r="Q82" s="144"/>
      <c r="R82" s="148"/>
      <c r="S82" s="149" t="s">
        <v>231</v>
      </c>
      <c r="T82" s="149"/>
      <c r="U82" s="144">
        <f t="shared" si="0"/>
        <v>0</v>
      </c>
      <c r="V82" s="150">
        <f t="shared" si="1"/>
        <v>0</v>
      </c>
      <c r="W82" s="146"/>
      <c r="X82" s="144"/>
      <c r="Y82" s="145"/>
      <c r="Z82" s="144"/>
      <c r="AA82" s="151"/>
      <c r="AB82" s="145"/>
      <c r="AC82" s="144"/>
      <c r="AD82" s="152"/>
      <c r="AE82" s="153"/>
      <c r="AF82" s="154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7"/>
      <c r="J83" s="144"/>
      <c r="K83" s="145"/>
      <c r="L83" s="144"/>
      <c r="M83" s="144"/>
      <c r="N83" s="144"/>
      <c r="O83" s="147" t="s">
        <v>232</v>
      </c>
      <c r="P83" s="144"/>
      <c r="Q83" s="144"/>
      <c r="R83" s="148"/>
      <c r="S83" s="149" t="s">
        <v>233</v>
      </c>
      <c r="T83" s="149"/>
      <c r="U83" s="144">
        <f t="shared" si="0"/>
        <v>0</v>
      </c>
      <c r="V83" s="150">
        <f t="shared" si="1"/>
        <v>0</v>
      </c>
      <c r="W83" s="146"/>
      <c r="X83" s="144"/>
      <c r="Y83" s="145"/>
      <c r="Z83" s="144"/>
      <c r="AA83" s="151"/>
      <c r="AB83" s="145"/>
      <c r="AC83" s="144"/>
      <c r="AD83" s="152"/>
      <c r="AE83" s="156"/>
      <c r="AF83" s="154"/>
    </row>
    <row r="84" s="10" customFormat="1" ht="14.15" customHeight="1" spans="1:32">
      <c r="A84" s="144"/>
      <c r="B84" s="144" t="s">
        <v>234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7"/>
      <c r="J84" s="144"/>
      <c r="K84" s="145"/>
      <c r="L84" s="144"/>
      <c r="M84" s="144"/>
      <c r="N84" s="144"/>
      <c r="O84" s="147" t="s">
        <v>235</v>
      </c>
      <c r="P84" s="144"/>
      <c r="Q84" s="144"/>
      <c r="R84" s="148"/>
      <c r="S84" s="149" t="s">
        <v>236</v>
      </c>
      <c r="T84" s="149"/>
      <c r="U84" s="144">
        <f t="shared" si="0"/>
        <v>0</v>
      </c>
      <c r="V84" s="150">
        <f t="shared" si="1"/>
        <v>0</v>
      </c>
      <c r="W84" s="146"/>
      <c r="X84" s="144"/>
      <c r="Y84" s="145"/>
      <c r="Z84" s="144"/>
      <c r="AA84" s="151"/>
      <c r="AB84" s="145"/>
      <c r="AC84" s="144"/>
      <c r="AD84" s="152"/>
      <c r="AE84" s="153" t="s">
        <v>211</v>
      </c>
      <c r="AF84" s="154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7"/>
      <c r="J85" s="144"/>
      <c r="K85" s="145"/>
      <c r="L85" s="144"/>
      <c r="M85" s="144"/>
      <c r="N85" s="144"/>
      <c r="O85" s="147" t="s">
        <v>237</v>
      </c>
      <c r="P85" s="144"/>
      <c r="Q85" s="144"/>
      <c r="R85" s="148"/>
      <c r="S85" s="149" t="s">
        <v>238</v>
      </c>
      <c r="T85" s="149"/>
      <c r="U85" s="144">
        <f t="shared" si="0"/>
        <v>0</v>
      </c>
      <c r="V85" s="150">
        <f t="shared" si="1"/>
        <v>0</v>
      </c>
      <c r="W85" s="146"/>
      <c r="X85" s="144"/>
      <c r="Y85" s="145"/>
      <c r="Z85" s="144"/>
      <c r="AA85" s="151"/>
      <c r="AB85" s="145"/>
      <c r="AC85" s="144"/>
      <c r="AD85" s="152"/>
      <c r="AE85" s="155"/>
      <c r="AF85" s="154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7"/>
      <c r="J86" s="144"/>
      <c r="K86" s="145"/>
      <c r="L86" s="144"/>
      <c r="M86" s="144"/>
      <c r="N86" s="144"/>
      <c r="O86" s="147" t="s">
        <v>239</v>
      </c>
      <c r="P86" s="144"/>
      <c r="Q86" s="144"/>
      <c r="R86" s="148"/>
      <c r="S86" s="149" t="s">
        <v>240</v>
      </c>
      <c r="T86" s="149"/>
      <c r="U86" s="144">
        <f t="shared" si="0"/>
        <v>0</v>
      </c>
      <c r="V86" s="150">
        <f t="shared" si="1"/>
        <v>0</v>
      </c>
      <c r="W86" s="146"/>
      <c r="X86" s="144"/>
      <c r="Y86" s="145"/>
      <c r="Z86" s="144"/>
      <c r="AA86" s="151"/>
      <c r="AB86" s="145"/>
      <c r="AC86" s="144"/>
      <c r="AD86" s="152"/>
      <c r="AE86" s="156"/>
      <c r="AF86" s="154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7"/>
      <c r="J87" s="144"/>
      <c r="K87" s="145"/>
      <c r="L87" s="144"/>
      <c r="M87" s="144"/>
      <c r="N87" s="144"/>
      <c r="O87" s="147" t="s">
        <v>241</v>
      </c>
      <c r="P87" s="144"/>
      <c r="Q87" s="144"/>
      <c r="R87" s="148"/>
      <c r="S87" s="149" t="s">
        <v>242</v>
      </c>
      <c r="T87" s="149"/>
      <c r="U87" s="144">
        <f t="shared" si="0"/>
        <v>0</v>
      </c>
      <c r="V87" s="150">
        <f t="shared" si="1"/>
        <v>0</v>
      </c>
      <c r="W87" s="146"/>
      <c r="X87" s="144"/>
      <c r="Y87" s="145"/>
      <c r="Z87" s="144"/>
      <c r="AA87" s="151"/>
      <c r="AB87" s="145"/>
      <c r="AC87" s="144"/>
      <c r="AD87" s="152"/>
      <c r="AE87" s="153"/>
      <c r="AF87" s="154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7"/>
      <c r="J88" s="144"/>
      <c r="K88" s="145"/>
      <c r="L88" s="144"/>
      <c r="M88" s="144"/>
      <c r="N88" s="144"/>
      <c r="O88" s="147" t="s">
        <v>243</v>
      </c>
      <c r="P88" s="144"/>
      <c r="Q88" s="144"/>
      <c r="R88" s="148"/>
      <c r="S88" s="149" t="s">
        <v>244</v>
      </c>
      <c r="T88" s="149"/>
      <c r="U88" s="144">
        <f t="shared" si="0"/>
        <v>0</v>
      </c>
      <c r="V88" s="150">
        <f t="shared" si="1"/>
        <v>0</v>
      </c>
      <c r="W88" s="146"/>
      <c r="X88" s="144"/>
      <c r="Y88" s="145"/>
      <c r="Z88" s="144"/>
      <c r="AA88" s="151"/>
      <c r="AB88" s="145"/>
      <c r="AC88" s="144"/>
      <c r="AD88" s="152"/>
      <c r="AE88" s="156"/>
      <c r="AF88" s="154"/>
    </row>
    <row r="89" s="10" customFormat="1" ht="14.15" customHeight="1" spans="1:32">
      <c r="A89" s="144" t="s">
        <v>245</v>
      </c>
      <c r="B89" s="144" t="s">
        <v>246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247</v>
      </c>
      <c r="J89" s="144"/>
      <c r="K89" s="145">
        <f>J89/300</f>
        <v>0</v>
      </c>
      <c r="L89" s="144" t="s">
        <v>194</v>
      </c>
      <c r="M89" s="144"/>
      <c r="N89" s="144"/>
      <c r="O89" s="158" t="s">
        <v>248</v>
      </c>
      <c r="P89" s="144"/>
      <c r="Q89" s="144"/>
      <c r="R89" s="148"/>
      <c r="S89" s="149" t="s">
        <v>249</v>
      </c>
      <c r="T89" s="149"/>
      <c r="U89" s="144">
        <f t="shared" si="0"/>
        <v>0</v>
      </c>
      <c r="V89" s="150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1">
        <v>140</v>
      </c>
      <c r="AB89" s="145">
        <f>87/Z89</f>
        <v>0.564935064935065</v>
      </c>
      <c r="AC89" s="144" t="s">
        <v>225</v>
      </c>
      <c r="AD89" s="152">
        <f>20-AC89</f>
        <v>20</v>
      </c>
      <c r="AE89" s="153" t="s">
        <v>199</v>
      </c>
      <c r="AF89" s="154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8" t="s">
        <v>250</v>
      </c>
      <c r="P90" s="144"/>
      <c r="Q90" s="144"/>
      <c r="R90" s="148"/>
      <c r="S90" s="149" t="s">
        <v>251</v>
      </c>
      <c r="T90" s="149"/>
      <c r="U90" s="144">
        <f t="shared" si="0"/>
        <v>0</v>
      </c>
      <c r="V90" s="150">
        <f t="shared" si="1"/>
        <v>0</v>
      </c>
      <c r="W90" s="146"/>
      <c r="X90" s="144"/>
      <c r="Y90" s="145"/>
      <c r="Z90" s="144"/>
      <c r="AA90" s="151"/>
      <c r="AB90" s="145"/>
      <c r="AC90" s="144"/>
      <c r="AD90" s="152"/>
      <c r="AE90" s="155"/>
      <c r="AF90" s="154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8" t="s">
        <v>252</v>
      </c>
      <c r="P91" s="144"/>
      <c r="Q91" s="144"/>
      <c r="R91" s="148"/>
      <c r="S91" s="149" t="s">
        <v>253</v>
      </c>
      <c r="T91" s="149"/>
      <c r="U91" s="144">
        <f t="shared" si="0"/>
        <v>0</v>
      </c>
      <c r="V91" s="150">
        <f t="shared" si="1"/>
        <v>0</v>
      </c>
      <c r="W91" s="146"/>
      <c r="X91" s="144"/>
      <c r="Y91" s="145"/>
      <c r="Z91" s="144"/>
      <c r="AA91" s="151"/>
      <c r="AB91" s="145"/>
      <c r="AC91" s="144"/>
      <c r="AD91" s="152"/>
      <c r="AE91" s="155"/>
      <c r="AF91" s="154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8" t="s">
        <v>254</v>
      </c>
      <c r="P92" s="144"/>
      <c r="Q92" s="144"/>
      <c r="R92" s="148"/>
      <c r="S92" s="149" t="s">
        <v>255</v>
      </c>
      <c r="T92" s="149"/>
      <c r="U92" s="144">
        <f t="shared" si="0"/>
        <v>0</v>
      </c>
      <c r="V92" s="150">
        <f t="shared" si="1"/>
        <v>0</v>
      </c>
      <c r="W92" s="146"/>
      <c r="X92" s="144"/>
      <c r="Y92" s="145"/>
      <c r="Z92" s="144"/>
      <c r="AA92" s="151"/>
      <c r="AB92" s="145"/>
      <c r="AC92" s="144"/>
      <c r="AD92" s="152"/>
      <c r="AE92" s="156"/>
      <c r="AF92" s="154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8" t="s">
        <v>256</v>
      </c>
      <c r="P93" s="144"/>
      <c r="Q93" s="144"/>
      <c r="R93" s="148"/>
      <c r="S93" s="149" t="s">
        <v>257</v>
      </c>
      <c r="T93" s="149"/>
      <c r="U93" s="144">
        <f t="shared" si="0"/>
        <v>0</v>
      </c>
      <c r="V93" s="150">
        <f t="shared" si="1"/>
        <v>0</v>
      </c>
      <c r="W93" s="146"/>
      <c r="X93" s="144"/>
      <c r="Y93" s="145"/>
      <c r="Z93" s="144"/>
      <c r="AA93" s="151"/>
      <c r="AB93" s="145"/>
      <c r="AC93" s="144"/>
      <c r="AD93" s="152"/>
      <c r="AE93" s="153"/>
      <c r="AF93" s="154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8" t="s">
        <v>258</v>
      </c>
      <c r="P94" s="144"/>
      <c r="Q94" s="144"/>
      <c r="R94" s="148"/>
      <c r="S94" s="149" t="s">
        <v>259</v>
      </c>
      <c r="T94" s="149"/>
      <c r="U94" s="144">
        <f t="shared" si="0"/>
        <v>0</v>
      </c>
      <c r="V94" s="150">
        <f t="shared" si="1"/>
        <v>0</v>
      </c>
      <c r="W94" s="146"/>
      <c r="X94" s="144"/>
      <c r="Y94" s="145"/>
      <c r="Z94" s="144"/>
      <c r="AA94" s="151"/>
      <c r="AB94" s="145"/>
      <c r="AC94" s="144"/>
      <c r="AD94" s="152"/>
      <c r="AE94" s="155"/>
      <c r="AF94" s="154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8" t="s">
        <v>260</v>
      </c>
      <c r="P95" s="144"/>
      <c r="Q95" s="144"/>
      <c r="R95" s="148"/>
      <c r="S95" s="149" t="s">
        <v>261</v>
      </c>
      <c r="T95" s="149"/>
      <c r="U95" s="144">
        <f t="shared" si="0"/>
        <v>0</v>
      </c>
      <c r="V95" s="150">
        <f t="shared" si="1"/>
        <v>0</v>
      </c>
      <c r="W95" s="146"/>
      <c r="X95" s="144"/>
      <c r="Y95" s="145"/>
      <c r="Z95" s="144"/>
      <c r="AA95" s="151"/>
      <c r="AB95" s="145"/>
      <c r="AC95" s="144"/>
      <c r="AD95" s="152"/>
      <c r="AE95" s="156"/>
      <c r="AF95" s="154"/>
    </row>
    <row r="96" s="10" customFormat="1" ht="14.15" customHeight="1" spans="1:32">
      <c r="A96" s="144"/>
      <c r="B96" s="144" t="s">
        <v>262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8" t="s">
        <v>263</v>
      </c>
      <c r="P96" s="144"/>
      <c r="Q96" s="144"/>
      <c r="R96" s="148"/>
      <c r="S96" s="149" t="s">
        <v>264</v>
      </c>
      <c r="T96" s="149"/>
      <c r="U96" s="144">
        <f t="shared" si="0"/>
        <v>0</v>
      </c>
      <c r="V96" s="150">
        <f t="shared" si="1"/>
        <v>0</v>
      </c>
      <c r="W96" s="146"/>
      <c r="X96" s="144"/>
      <c r="Y96" s="145"/>
      <c r="Z96" s="144"/>
      <c r="AA96" s="151"/>
      <c r="AB96" s="145"/>
      <c r="AC96" s="144"/>
      <c r="AD96" s="152"/>
      <c r="AE96" s="153" t="s">
        <v>211</v>
      </c>
      <c r="AF96" s="154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8" t="s">
        <v>265</v>
      </c>
      <c r="P97" s="144"/>
      <c r="Q97" s="144"/>
      <c r="R97" s="148"/>
      <c r="S97" s="149" t="s">
        <v>266</v>
      </c>
      <c r="T97" s="149"/>
      <c r="U97" s="144">
        <f t="shared" si="0"/>
        <v>0</v>
      </c>
      <c r="V97" s="150">
        <f t="shared" si="1"/>
        <v>0</v>
      </c>
      <c r="W97" s="146"/>
      <c r="X97" s="144"/>
      <c r="Y97" s="145"/>
      <c r="Z97" s="144"/>
      <c r="AA97" s="151"/>
      <c r="AB97" s="145"/>
      <c r="AC97" s="144"/>
      <c r="AD97" s="152"/>
      <c r="AE97" s="155"/>
      <c r="AF97" s="154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8" t="s">
        <v>267</v>
      </c>
      <c r="P98" s="144"/>
      <c r="Q98" s="144"/>
      <c r="R98" s="148"/>
      <c r="S98" s="149" t="s">
        <v>268</v>
      </c>
      <c r="T98" s="149"/>
      <c r="U98" s="144">
        <f t="shared" si="0"/>
        <v>0</v>
      </c>
      <c r="V98" s="150">
        <f t="shared" si="1"/>
        <v>0</v>
      </c>
      <c r="W98" s="146"/>
      <c r="X98" s="144"/>
      <c r="Y98" s="145"/>
      <c r="Z98" s="144"/>
      <c r="AA98" s="151"/>
      <c r="AB98" s="145"/>
      <c r="AC98" s="144"/>
      <c r="AD98" s="152"/>
      <c r="AE98" s="155"/>
      <c r="AF98" s="154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8" t="s">
        <v>269</v>
      </c>
      <c r="P99" s="144"/>
      <c r="Q99" s="144"/>
      <c r="R99" s="148"/>
      <c r="S99" s="149" t="s">
        <v>270</v>
      </c>
      <c r="T99" s="149"/>
      <c r="U99" s="144">
        <f t="shared" si="0"/>
        <v>0</v>
      </c>
      <c r="V99" s="150">
        <f t="shared" si="1"/>
        <v>0</v>
      </c>
      <c r="W99" s="146"/>
      <c r="X99" s="144"/>
      <c r="Y99" s="145"/>
      <c r="Z99" s="144"/>
      <c r="AA99" s="151"/>
      <c r="AB99" s="145"/>
      <c r="AC99" s="144"/>
      <c r="AD99" s="152"/>
      <c r="AE99" s="156"/>
      <c r="AF99" s="154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8" t="s">
        <v>271</v>
      </c>
      <c r="P100" s="144"/>
      <c r="Q100" s="144"/>
      <c r="R100" s="148"/>
      <c r="S100" s="149" t="s">
        <v>272</v>
      </c>
      <c r="T100" s="149"/>
      <c r="U100" s="144">
        <f t="shared" si="0"/>
        <v>0</v>
      </c>
      <c r="V100" s="150">
        <f t="shared" si="1"/>
        <v>0</v>
      </c>
      <c r="W100" s="146"/>
      <c r="X100" s="144"/>
      <c r="Y100" s="145"/>
      <c r="Z100" s="144"/>
      <c r="AA100" s="151"/>
      <c r="AB100" s="145"/>
      <c r="AC100" s="144"/>
      <c r="AD100" s="152"/>
      <c r="AE100" s="153"/>
      <c r="AF100" s="154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8" t="s">
        <v>273</v>
      </c>
      <c r="P101" s="144"/>
      <c r="Q101" s="144"/>
      <c r="R101" s="148"/>
      <c r="S101" s="149" t="s">
        <v>274</v>
      </c>
      <c r="T101" s="149"/>
      <c r="U101" s="144">
        <f t="shared" si="0"/>
        <v>0</v>
      </c>
      <c r="V101" s="150">
        <f t="shared" si="1"/>
        <v>0</v>
      </c>
      <c r="W101" s="146"/>
      <c r="X101" s="144"/>
      <c r="Y101" s="145"/>
      <c r="Z101" s="144"/>
      <c r="AA101" s="151"/>
      <c r="AB101" s="145"/>
      <c r="AC101" s="144"/>
      <c r="AD101" s="152"/>
      <c r="AE101" s="155"/>
      <c r="AF101" s="154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8" t="s">
        <v>275</v>
      </c>
      <c r="P102" s="144"/>
      <c r="Q102" s="144"/>
      <c r="R102" s="148"/>
      <c r="S102" s="149" t="s">
        <v>276</v>
      </c>
      <c r="T102" s="149"/>
      <c r="U102" s="144">
        <f t="shared" si="0"/>
        <v>0</v>
      </c>
      <c r="V102" s="150">
        <f t="shared" si="1"/>
        <v>0</v>
      </c>
      <c r="W102" s="146"/>
      <c r="X102" s="144"/>
      <c r="Y102" s="145"/>
      <c r="Z102" s="144"/>
      <c r="AA102" s="151"/>
      <c r="AB102" s="145"/>
      <c r="AC102" s="144"/>
      <c r="AD102" s="152"/>
      <c r="AE102" s="156"/>
      <c r="AF102" s="154"/>
    </row>
    <row r="103" s="10" customFormat="1" ht="14.15" customHeight="1" spans="1:32">
      <c r="A103" s="144" t="s">
        <v>277</v>
      </c>
      <c r="B103" s="144" t="s">
        <v>278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279</v>
      </c>
      <c r="J103" s="144"/>
      <c r="K103" s="145">
        <f>J103/300</f>
        <v>0</v>
      </c>
      <c r="L103" s="144" t="s">
        <v>194</v>
      </c>
      <c r="M103" s="144"/>
      <c r="N103" s="144"/>
      <c r="O103" s="158" t="s">
        <v>280</v>
      </c>
      <c r="P103" s="144"/>
      <c r="Q103" s="144"/>
      <c r="R103" s="148"/>
      <c r="S103" s="149" t="s">
        <v>281</v>
      </c>
      <c r="T103" s="149"/>
      <c r="U103" s="144">
        <f t="shared" si="0"/>
        <v>0</v>
      </c>
      <c r="V103" s="150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1">
        <v>152</v>
      </c>
      <c r="AB103" s="145">
        <f>101/Z103</f>
        <v>0.655844155844156</v>
      </c>
      <c r="AC103" s="144" t="s">
        <v>225</v>
      </c>
      <c r="AD103" s="152">
        <f>20-AC103</f>
        <v>20</v>
      </c>
      <c r="AE103" s="153" t="s">
        <v>199</v>
      </c>
      <c r="AF103" s="154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282</v>
      </c>
      <c r="P104" s="144"/>
      <c r="Q104" s="144"/>
      <c r="R104" s="148"/>
      <c r="S104" s="149" t="s">
        <v>283</v>
      </c>
      <c r="T104" s="149"/>
      <c r="U104" s="144">
        <f t="shared" si="0"/>
        <v>0</v>
      </c>
      <c r="V104" s="150">
        <f t="shared" si="1"/>
        <v>0</v>
      </c>
      <c r="W104" s="146"/>
      <c r="X104" s="144"/>
      <c r="Y104" s="145"/>
      <c r="Z104" s="144"/>
      <c r="AA104" s="151"/>
      <c r="AB104" s="145"/>
      <c r="AC104" s="144"/>
      <c r="AD104" s="152"/>
      <c r="AE104" s="155"/>
      <c r="AF104" s="154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8" t="s">
        <v>284</v>
      </c>
      <c r="P105" s="144"/>
      <c r="Q105" s="144"/>
      <c r="R105" s="148"/>
      <c r="S105" s="149" t="s">
        <v>285</v>
      </c>
      <c r="T105" s="149"/>
      <c r="U105" s="144">
        <f t="shared" si="0"/>
        <v>0</v>
      </c>
      <c r="V105" s="150">
        <f t="shared" si="1"/>
        <v>0</v>
      </c>
      <c r="W105" s="146"/>
      <c r="X105" s="144"/>
      <c r="Y105" s="145"/>
      <c r="Z105" s="144"/>
      <c r="AA105" s="151"/>
      <c r="AB105" s="145"/>
      <c r="AC105" s="144"/>
      <c r="AD105" s="152"/>
      <c r="AE105" s="155"/>
      <c r="AF105" s="154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286</v>
      </c>
      <c r="P106" s="144"/>
      <c r="Q106" s="144"/>
      <c r="R106" s="148"/>
      <c r="S106" s="149" t="s">
        <v>287</v>
      </c>
      <c r="T106" s="149"/>
      <c r="U106" s="144">
        <f t="shared" si="0"/>
        <v>0</v>
      </c>
      <c r="V106" s="150">
        <f t="shared" si="1"/>
        <v>0</v>
      </c>
      <c r="W106" s="146"/>
      <c r="X106" s="144"/>
      <c r="Y106" s="145"/>
      <c r="Z106" s="144"/>
      <c r="AA106" s="151"/>
      <c r="AB106" s="145"/>
      <c r="AC106" s="144"/>
      <c r="AD106" s="152"/>
      <c r="AE106" s="156"/>
      <c r="AF106" s="154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8" t="s">
        <v>288</v>
      </c>
      <c r="P107" s="144"/>
      <c r="Q107" s="144"/>
      <c r="R107" s="148"/>
      <c r="S107" s="149" t="s">
        <v>289</v>
      </c>
      <c r="T107" s="149"/>
      <c r="U107" s="144">
        <f t="shared" si="0"/>
        <v>0</v>
      </c>
      <c r="V107" s="150">
        <f t="shared" si="1"/>
        <v>0</v>
      </c>
      <c r="W107" s="146"/>
      <c r="X107" s="144"/>
      <c r="Y107" s="145"/>
      <c r="Z107" s="144"/>
      <c r="AA107" s="151"/>
      <c r="AB107" s="145"/>
      <c r="AC107" s="144"/>
      <c r="AD107" s="152"/>
      <c r="AE107" s="153"/>
      <c r="AF107" s="154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290</v>
      </c>
      <c r="P108" s="144"/>
      <c r="Q108" s="144"/>
      <c r="R108" s="148"/>
      <c r="S108" s="149" t="s">
        <v>291</v>
      </c>
      <c r="T108" s="149"/>
      <c r="U108" s="144">
        <f t="shared" si="0"/>
        <v>0</v>
      </c>
      <c r="V108" s="150">
        <f t="shared" si="1"/>
        <v>0</v>
      </c>
      <c r="W108" s="146"/>
      <c r="X108" s="144"/>
      <c r="Y108" s="145"/>
      <c r="Z108" s="144"/>
      <c r="AA108" s="151"/>
      <c r="AB108" s="145"/>
      <c r="AC108" s="144"/>
      <c r="AD108" s="152"/>
      <c r="AE108" s="155"/>
      <c r="AF108" s="154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8" t="s">
        <v>292</v>
      </c>
      <c r="P109" s="144"/>
      <c r="Q109" s="144"/>
      <c r="R109" s="148"/>
      <c r="S109" s="149" t="s">
        <v>293</v>
      </c>
      <c r="T109" s="149"/>
      <c r="U109" s="144">
        <f t="shared" si="0"/>
        <v>0</v>
      </c>
      <c r="V109" s="150">
        <f t="shared" si="1"/>
        <v>0</v>
      </c>
      <c r="W109" s="146"/>
      <c r="X109" s="144"/>
      <c r="Y109" s="145"/>
      <c r="Z109" s="144"/>
      <c r="AA109" s="151"/>
      <c r="AB109" s="145"/>
      <c r="AC109" s="144"/>
      <c r="AD109" s="152"/>
      <c r="AE109" s="156"/>
      <c r="AF109" s="154"/>
    </row>
    <row r="110" s="10" customFormat="1" ht="14.15" customHeight="1" spans="1:32">
      <c r="A110" s="144"/>
      <c r="B110" s="144" t="s">
        <v>294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295</v>
      </c>
      <c r="P110" s="144"/>
      <c r="Q110" s="144"/>
      <c r="R110" s="148"/>
      <c r="S110" s="149" t="s">
        <v>296</v>
      </c>
      <c r="T110" s="149"/>
      <c r="U110" s="144">
        <f t="shared" si="0"/>
        <v>0</v>
      </c>
      <c r="V110" s="150">
        <f t="shared" si="1"/>
        <v>0</v>
      </c>
      <c r="W110" s="146"/>
      <c r="X110" s="144"/>
      <c r="Y110" s="145"/>
      <c r="Z110" s="144"/>
      <c r="AA110" s="151"/>
      <c r="AB110" s="145"/>
      <c r="AC110" s="144"/>
      <c r="AD110" s="152"/>
      <c r="AE110" s="153" t="s">
        <v>211</v>
      </c>
      <c r="AF110" s="154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297</v>
      </c>
      <c r="P111" s="144"/>
      <c r="Q111" s="144"/>
      <c r="R111" s="148"/>
      <c r="S111" s="149" t="s">
        <v>298</v>
      </c>
      <c r="T111" s="149"/>
      <c r="U111" s="144">
        <f t="shared" si="0"/>
        <v>0</v>
      </c>
      <c r="V111" s="150">
        <f t="shared" si="1"/>
        <v>0</v>
      </c>
      <c r="W111" s="146"/>
      <c r="X111" s="144"/>
      <c r="Y111" s="145"/>
      <c r="Z111" s="144"/>
      <c r="AA111" s="151"/>
      <c r="AB111" s="145"/>
      <c r="AC111" s="144"/>
      <c r="AD111" s="152"/>
      <c r="AE111" s="155"/>
      <c r="AF111" s="154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299</v>
      </c>
      <c r="P112" s="144"/>
      <c r="Q112" s="144"/>
      <c r="R112" s="148"/>
      <c r="S112" s="149" t="s">
        <v>300</v>
      </c>
      <c r="T112" s="149"/>
      <c r="U112" s="144">
        <f t="shared" si="0"/>
        <v>0</v>
      </c>
      <c r="V112" s="150">
        <f t="shared" si="1"/>
        <v>0</v>
      </c>
      <c r="W112" s="146"/>
      <c r="X112" s="144"/>
      <c r="Y112" s="145"/>
      <c r="Z112" s="144"/>
      <c r="AA112" s="151"/>
      <c r="AB112" s="145"/>
      <c r="AC112" s="144"/>
      <c r="AD112" s="152"/>
      <c r="AE112" s="155"/>
      <c r="AF112" s="154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301</v>
      </c>
      <c r="P113" s="144"/>
      <c r="Q113" s="144"/>
      <c r="R113" s="148"/>
      <c r="S113" s="149" t="s">
        <v>302</v>
      </c>
      <c r="T113" s="149"/>
      <c r="U113" s="144">
        <f t="shared" si="0"/>
        <v>0</v>
      </c>
      <c r="V113" s="150">
        <f t="shared" si="1"/>
        <v>0</v>
      </c>
      <c r="W113" s="146"/>
      <c r="X113" s="144"/>
      <c r="Y113" s="145"/>
      <c r="Z113" s="144"/>
      <c r="AA113" s="151"/>
      <c r="AB113" s="145"/>
      <c r="AC113" s="144"/>
      <c r="AD113" s="152"/>
      <c r="AE113" s="156"/>
      <c r="AF113" s="154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303</v>
      </c>
      <c r="P114" s="144"/>
      <c r="Q114" s="144"/>
      <c r="R114" s="148"/>
      <c r="S114" s="149" t="s">
        <v>304</v>
      </c>
      <c r="T114" s="149"/>
      <c r="U114" s="144">
        <f t="shared" si="0"/>
        <v>0</v>
      </c>
      <c r="V114" s="150">
        <f t="shared" si="1"/>
        <v>0</v>
      </c>
      <c r="W114" s="146"/>
      <c r="X114" s="144"/>
      <c r="Y114" s="145"/>
      <c r="Z114" s="144"/>
      <c r="AA114" s="151"/>
      <c r="AB114" s="145"/>
      <c r="AC114" s="144"/>
      <c r="AD114" s="152"/>
      <c r="AE114" s="153"/>
      <c r="AF114" s="154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305</v>
      </c>
      <c r="P115" s="144"/>
      <c r="Q115" s="144"/>
      <c r="R115" s="148"/>
      <c r="S115" s="149" t="s">
        <v>306</v>
      </c>
      <c r="T115" s="149"/>
      <c r="U115" s="144">
        <f t="shared" si="0"/>
        <v>0</v>
      </c>
      <c r="V115" s="150">
        <f t="shared" si="1"/>
        <v>0</v>
      </c>
      <c r="W115" s="146"/>
      <c r="X115" s="144"/>
      <c r="Y115" s="145"/>
      <c r="Z115" s="144"/>
      <c r="AA115" s="151"/>
      <c r="AB115" s="145"/>
      <c r="AC115" s="144"/>
      <c r="AD115" s="152"/>
      <c r="AE115" s="155"/>
      <c r="AF115" s="154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307</v>
      </c>
      <c r="P116" s="144"/>
      <c r="Q116" s="144"/>
      <c r="R116" s="148"/>
      <c r="S116" s="149" t="s">
        <v>308</v>
      </c>
      <c r="T116" s="149"/>
      <c r="U116" s="144">
        <f t="shared" si="0"/>
        <v>0</v>
      </c>
      <c r="V116" s="150">
        <f t="shared" si="1"/>
        <v>0</v>
      </c>
      <c r="W116" s="146"/>
      <c r="X116" s="144"/>
      <c r="Y116" s="145"/>
      <c r="Z116" s="144"/>
      <c r="AA116" s="151"/>
      <c r="AB116" s="145"/>
      <c r="AC116" s="144"/>
      <c r="AD116" s="152"/>
      <c r="AE116" s="156"/>
      <c r="AF116" s="154"/>
    </row>
    <row r="117" s="10" customFormat="1" ht="14.15" customHeight="1" spans="1:32">
      <c r="A117" s="144" t="s">
        <v>309</v>
      </c>
      <c r="B117" s="144" t="s">
        <v>310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311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312</v>
      </c>
      <c r="P117" s="144"/>
      <c r="Q117" s="144"/>
      <c r="R117" s="148"/>
      <c r="S117" s="149" t="s">
        <v>313</v>
      </c>
      <c r="T117" s="149"/>
      <c r="U117" s="144">
        <f t="shared" si="0"/>
        <v>0</v>
      </c>
      <c r="V117" s="150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1">
        <v>170</v>
      </c>
      <c r="AB117" s="145">
        <f>115/Z117</f>
        <v>0.676470588235294</v>
      </c>
      <c r="AC117" s="144" t="s">
        <v>225</v>
      </c>
      <c r="AD117" s="152">
        <f>20-AC117</f>
        <v>20</v>
      </c>
      <c r="AE117" s="153" t="s">
        <v>199</v>
      </c>
      <c r="AF117" s="154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314</v>
      </c>
      <c r="P118" s="144"/>
      <c r="Q118" s="144"/>
      <c r="R118" s="148"/>
      <c r="S118" s="149" t="s">
        <v>315</v>
      </c>
      <c r="T118" s="149"/>
      <c r="U118" s="144">
        <f t="shared" si="0"/>
        <v>0</v>
      </c>
      <c r="V118" s="150">
        <f t="shared" si="1"/>
        <v>0</v>
      </c>
      <c r="W118" s="146"/>
      <c r="X118" s="144"/>
      <c r="Y118" s="145"/>
      <c r="Z118" s="144"/>
      <c r="AA118" s="151"/>
      <c r="AB118" s="145"/>
      <c r="AC118" s="144"/>
      <c r="AD118" s="152"/>
      <c r="AE118" s="155"/>
      <c r="AF118" s="154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316</v>
      </c>
      <c r="P119" s="144"/>
      <c r="Q119" s="144"/>
      <c r="R119" s="148"/>
      <c r="S119" s="149" t="s">
        <v>317</v>
      </c>
      <c r="T119" s="149"/>
      <c r="U119" s="144">
        <f t="shared" si="0"/>
        <v>0</v>
      </c>
      <c r="V119" s="150">
        <f t="shared" si="1"/>
        <v>0</v>
      </c>
      <c r="W119" s="146"/>
      <c r="X119" s="144"/>
      <c r="Y119" s="145"/>
      <c r="Z119" s="144"/>
      <c r="AA119" s="151"/>
      <c r="AB119" s="145"/>
      <c r="AC119" s="144"/>
      <c r="AD119" s="152"/>
      <c r="AE119" s="156"/>
      <c r="AF119" s="154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318</v>
      </c>
      <c r="P120" s="144"/>
      <c r="Q120" s="144"/>
      <c r="R120" s="148"/>
      <c r="S120" s="149" t="s">
        <v>319</v>
      </c>
      <c r="T120" s="149"/>
      <c r="U120" s="144">
        <f t="shared" si="0"/>
        <v>0</v>
      </c>
      <c r="V120" s="150">
        <f t="shared" si="1"/>
        <v>0</v>
      </c>
      <c r="W120" s="146"/>
      <c r="X120" s="144"/>
      <c r="Y120" s="145"/>
      <c r="Z120" s="144"/>
      <c r="AA120" s="151"/>
      <c r="AB120" s="145"/>
      <c r="AC120" s="144"/>
      <c r="AD120" s="152"/>
      <c r="AE120" s="153"/>
      <c r="AF120" s="154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320</v>
      </c>
      <c r="P121" s="144"/>
      <c r="Q121" s="144"/>
      <c r="R121" s="148"/>
      <c r="S121" s="149" t="s">
        <v>321</v>
      </c>
      <c r="T121" s="149"/>
      <c r="U121" s="144">
        <f t="shared" si="0"/>
        <v>0</v>
      </c>
      <c r="V121" s="150">
        <f t="shared" si="1"/>
        <v>0</v>
      </c>
      <c r="W121" s="146"/>
      <c r="X121" s="144"/>
      <c r="Y121" s="145"/>
      <c r="Z121" s="144"/>
      <c r="AA121" s="151"/>
      <c r="AB121" s="145"/>
      <c r="AC121" s="144"/>
      <c r="AD121" s="152"/>
      <c r="AE121" s="156"/>
      <c r="AF121" s="154"/>
    </row>
    <row r="122" s="10" customFormat="1" ht="14.15" customHeight="1" spans="1:32">
      <c r="A122" s="144"/>
      <c r="B122" s="144" t="s">
        <v>322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323</v>
      </c>
      <c r="P122" s="144"/>
      <c r="Q122" s="144"/>
      <c r="R122" s="148"/>
      <c r="S122" s="149" t="s">
        <v>324</v>
      </c>
      <c r="T122" s="149"/>
      <c r="U122" s="144">
        <f t="shared" si="0"/>
        <v>0</v>
      </c>
      <c r="V122" s="150">
        <f t="shared" si="1"/>
        <v>0</v>
      </c>
      <c r="W122" s="146"/>
      <c r="X122" s="144"/>
      <c r="Y122" s="145"/>
      <c r="Z122" s="144"/>
      <c r="AA122" s="151"/>
      <c r="AB122" s="145"/>
      <c r="AC122" s="144"/>
      <c r="AD122" s="152"/>
      <c r="AE122" s="153" t="s">
        <v>211</v>
      </c>
      <c r="AF122" s="154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325</v>
      </c>
      <c r="P123" s="144"/>
      <c r="Q123" s="144"/>
      <c r="R123" s="148"/>
      <c r="S123" s="149" t="s">
        <v>326</v>
      </c>
      <c r="T123" s="149"/>
      <c r="U123" s="144">
        <f t="shared" si="0"/>
        <v>0</v>
      </c>
      <c r="V123" s="150">
        <f t="shared" si="1"/>
        <v>0</v>
      </c>
      <c r="W123" s="146"/>
      <c r="X123" s="144"/>
      <c r="Y123" s="145"/>
      <c r="Z123" s="144"/>
      <c r="AA123" s="151"/>
      <c r="AB123" s="145"/>
      <c r="AC123" s="144"/>
      <c r="AD123" s="152"/>
      <c r="AE123" s="155"/>
      <c r="AF123" s="154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327</v>
      </c>
      <c r="P124" s="144"/>
      <c r="Q124" s="144"/>
      <c r="R124" s="148"/>
      <c r="S124" s="149" t="s">
        <v>328</v>
      </c>
      <c r="T124" s="149"/>
      <c r="U124" s="144">
        <f t="shared" si="0"/>
        <v>0</v>
      </c>
      <c r="V124" s="150">
        <f t="shared" si="1"/>
        <v>0</v>
      </c>
      <c r="W124" s="146"/>
      <c r="X124" s="144"/>
      <c r="Y124" s="145"/>
      <c r="Z124" s="144"/>
      <c r="AA124" s="151"/>
      <c r="AB124" s="145"/>
      <c r="AC124" s="144"/>
      <c r="AD124" s="152"/>
      <c r="AE124" s="156"/>
      <c r="AF124" s="154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329</v>
      </c>
      <c r="P125" s="144"/>
      <c r="Q125" s="144"/>
      <c r="R125" s="148"/>
      <c r="S125" s="149" t="s">
        <v>330</v>
      </c>
      <c r="T125" s="149"/>
      <c r="U125" s="144">
        <f t="shared" si="0"/>
        <v>0</v>
      </c>
      <c r="V125" s="150">
        <f t="shared" si="1"/>
        <v>0</v>
      </c>
      <c r="W125" s="146"/>
      <c r="X125" s="144"/>
      <c r="Y125" s="145"/>
      <c r="Z125" s="144"/>
      <c r="AA125" s="151"/>
      <c r="AB125" s="145"/>
      <c r="AC125" s="144"/>
      <c r="AD125" s="152"/>
      <c r="AE125" s="153"/>
      <c r="AF125" s="154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331</v>
      </c>
      <c r="P126" s="144"/>
      <c r="Q126" s="144"/>
      <c r="R126" s="148"/>
      <c r="S126" s="149" t="s">
        <v>332</v>
      </c>
      <c r="T126" s="149"/>
      <c r="U126" s="144">
        <f t="shared" si="0"/>
        <v>0</v>
      </c>
      <c r="V126" s="150">
        <f t="shared" si="1"/>
        <v>0</v>
      </c>
      <c r="W126" s="146"/>
      <c r="X126" s="144"/>
      <c r="Y126" s="145"/>
      <c r="Z126" s="144"/>
      <c r="AA126" s="151"/>
      <c r="AB126" s="145"/>
      <c r="AC126" s="144"/>
      <c r="AD126" s="152"/>
      <c r="AE126" s="156"/>
      <c r="AF126" s="154"/>
    </row>
    <row r="127" s="10" customFormat="1" ht="14.15" customHeight="1" spans="1:32">
      <c r="A127" s="144" t="s">
        <v>333</v>
      </c>
      <c r="B127" s="144" t="s">
        <v>334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335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336</v>
      </c>
      <c r="P127" s="144"/>
      <c r="Q127" s="144"/>
      <c r="R127" s="148"/>
      <c r="S127" s="149" t="s">
        <v>337</v>
      </c>
      <c r="T127" s="149"/>
      <c r="U127" s="144">
        <f t="shared" si="0"/>
        <v>0</v>
      </c>
      <c r="V127" s="150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1">
        <v>170</v>
      </c>
      <c r="AB127" s="145">
        <f>125/Z127</f>
        <v>0.735294117647059</v>
      </c>
      <c r="AC127" s="144" t="s">
        <v>225</v>
      </c>
      <c r="AD127" s="152">
        <f>20-AC127</f>
        <v>20</v>
      </c>
      <c r="AE127" s="153" t="s">
        <v>199</v>
      </c>
      <c r="AF127" s="154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338</v>
      </c>
      <c r="P128" s="144"/>
      <c r="Q128" s="144"/>
      <c r="R128" s="148"/>
      <c r="S128" s="149" t="s">
        <v>339</v>
      </c>
      <c r="T128" s="149"/>
      <c r="U128" s="144">
        <f t="shared" si="0"/>
        <v>0</v>
      </c>
      <c r="V128" s="150">
        <f t="shared" si="1"/>
        <v>0</v>
      </c>
      <c r="W128" s="146"/>
      <c r="X128" s="144"/>
      <c r="Y128" s="145"/>
      <c r="Z128" s="144"/>
      <c r="AA128" s="151"/>
      <c r="AB128" s="145"/>
      <c r="AC128" s="144"/>
      <c r="AD128" s="152"/>
      <c r="AE128" s="155"/>
      <c r="AF128" s="154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340</v>
      </c>
      <c r="P129" s="144"/>
      <c r="Q129" s="144"/>
      <c r="R129" s="148"/>
      <c r="S129" s="149" t="s">
        <v>341</v>
      </c>
      <c r="T129" s="149"/>
      <c r="U129" s="144">
        <f t="shared" si="0"/>
        <v>0</v>
      </c>
      <c r="V129" s="150">
        <f t="shared" si="1"/>
        <v>0</v>
      </c>
      <c r="W129" s="146"/>
      <c r="X129" s="144"/>
      <c r="Y129" s="145"/>
      <c r="Z129" s="144"/>
      <c r="AA129" s="151"/>
      <c r="AB129" s="145"/>
      <c r="AC129" s="144"/>
      <c r="AD129" s="152"/>
      <c r="AE129" s="156"/>
      <c r="AF129" s="154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342</v>
      </c>
      <c r="P130" s="144"/>
      <c r="Q130" s="144"/>
      <c r="R130" s="148"/>
      <c r="S130" s="149" t="s">
        <v>343</v>
      </c>
      <c r="T130" s="149"/>
      <c r="U130" s="144">
        <f t="shared" si="0"/>
        <v>0</v>
      </c>
      <c r="V130" s="150">
        <f t="shared" si="1"/>
        <v>0</v>
      </c>
      <c r="W130" s="146"/>
      <c r="X130" s="144"/>
      <c r="Y130" s="145"/>
      <c r="Z130" s="144"/>
      <c r="AA130" s="151"/>
      <c r="AB130" s="145"/>
      <c r="AC130" s="144"/>
      <c r="AD130" s="152"/>
      <c r="AE130" s="153"/>
      <c r="AF130" s="154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344</v>
      </c>
      <c r="P131" s="144"/>
      <c r="Q131" s="144"/>
      <c r="R131" s="148"/>
      <c r="S131" s="149" t="s">
        <v>345</v>
      </c>
      <c r="T131" s="149"/>
      <c r="U131" s="144">
        <f t="shared" si="0"/>
        <v>0</v>
      </c>
      <c r="V131" s="150">
        <f t="shared" si="1"/>
        <v>0</v>
      </c>
      <c r="W131" s="146"/>
      <c r="X131" s="144"/>
      <c r="Y131" s="145"/>
      <c r="Z131" s="144"/>
      <c r="AA131" s="151"/>
      <c r="AB131" s="145"/>
      <c r="AC131" s="144"/>
      <c r="AD131" s="152"/>
      <c r="AE131" s="156"/>
      <c r="AF131" s="154"/>
    </row>
    <row r="132" s="10" customFormat="1" ht="14.15" customHeight="1" spans="1:32">
      <c r="A132" s="144"/>
      <c r="B132" s="144" t="s">
        <v>346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347</v>
      </c>
      <c r="P132" s="144"/>
      <c r="Q132" s="144"/>
      <c r="R132" s="148"/>
      <c r="S132" s="149" t="s">
        <v>348</v>
      </c>
      <c r="T132" s="149"/>
      <c r="U132" s="144">
        <f t="shared" si="0"/>
        <v>0</v>
      </c>
      <c r="V132" s="150">
        <f t="shared" si="1"/>
        <v>0</v>
      </c>
      <c r="W132" s="146"/>
      <c r="X132" s="144"/>
      <c r="Y132" s="145"/>
      <c r="Z132" s="144"/>
      <c r="AA132" s="151"/>
      <c r="AB132" s="145"/>
      <c r="AC132" s="144"/>
      <c r="AD132" s="152"/>
      <c r="AE132" s="153" t="s">
        <v>211</v>
      </c>
      <c r="AF132" s="154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349</v>
      </c>
      <c r="P133" s="144"/>
      <c r="Q133" s="144"/>
      <c r="R133" s="148"/>
      <c r="S133" s="149" t="s">
        <v>350</v>
      </c>
      <c r="T133" s="149"/>
      <c r="U133" s="144">
        <f t="shared" ref="U133:U136" si="2">R133*0.935</f>
        <v>0</v>
      </c>
      <c r="V133" s="150">
        <f t="shared" ref="V133:V136" si="3">U133/215</f>
        <v>0</v>
      </c>
      <c r="W133" s="146"/>
      <c r="X133" s="144"/>
      <c r="Y133" s="145"/>
      <c r="Z133" s="144"/>
      <c r="AA133" s="151"/>
      <c r="AB133" s="145"/>
      <c r="AC133" s="144"/>
      <c r="AD133" s="152"/>
      <c r="AE133" s="155"/>
      <c r="AF133" s="154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351</v>
      </c>
      <c r="P134" s="144"/>
      <c r="Q134" s="144"/>
      <c r="R134" s="148"/>
      <c r="S134" s="149" t="s">
        <v>352</v>
      </c>
      <c r="T134" s="149"/>
      <c r="U134" s="144">
        <f t="shared" si="2"/>
        <v>0</v>
      </c>
      <c r="V134" s="150">
        <f t="shared" si="3"/>
        <v>0</v>
      </c>
      <c r="W134" s="146"/>
      <c r="X134" s="144"/>
      <c r="Y134" s="145"/>
      <c r="Z134" s="144"/>
      <c r="AA134" s="151"/>
      <c r="AB134" s="145"/>
      <c r="AC134" s="144"/>
      <c r="AD134" s="152"/>
      <c r="AE134" s="156"/>
      <c r="AF134" s="154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353</v>
      </c>
      <c r="P135" s="144"/>
      <c r="Q135" s="144"/>
      <c r="R135" s="148"/>
      <c r="S135" s="149" t="s">
        <v>354</v>
      </c>
      <c r="T135" s="149"/>
      <c r="U135" s="144">
        <f t="shared" si="2"/>
        <v>0</v>
      </c>
      <c r="V135" s="150">
        <f t="shared" si="3"/>
        <v>0</v>
      </c>
      <c r="W135" s="146"/>
      <c r="X135" s="144"/>
      <c r="Y135" s="145"/>
      <c r="Z135" s="144"/>
      <c r="AA135" s="151"/>
      <c r="AB135" s="145"/>
      <c r="AC135" s="144"/>
      <c r="AD135" s="152"/>
      <c r="AE135" s="153"/>
      <c r="AF135" s="154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355</v>
      </c>
      <c r="P136" s="144"/>
      <c r="Q136" s="144"/>
      <c r="R136" s="148"/>
      <c r="S136" s="149" t="s">
        <v>356</v>
      </c>
      <c r="T136" s="149"/>
      <c r="U136" s="144">
        <f t="shared" si="2"/>
        <v>0</v>
      </c>
      <c r="V136" s="150">
        <f t="shared" si="3"/>
        <v>0</v>
      </c>
      <c r="W136" s="146"/>
      <c r="X136" s="144"/>
      <c r="Y136" s="145"/>
      <c r="Z136" s="144"/>
      <c r="AA136" s="151"/>
      <c r="AB136" s="145"/>
      <c r="AC136" s="144"/>
      <c r="AD136" s="152"/>
      <c r="AE136" s="156"/>
      <c r="AF136" s="154"/>
    </row>
    <row r="137" s="10" customFormat="1" ht="16.5" customHeight="1" spans="1:32">
      <c r="A137" s="144" t="s">
        <v>357</v>
      </c>
      <c r="B137" s="144" t="s">
        <v>358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359</v>
      </c>
      <c r="J137" s="159"/>
      <c r="K137" s="145">
        <f>J137/300</f>
        <v>0</v>
      </c>
      <c r="L137" s="144" t="s">
        <v>194</v>
      </c>
      <c r="M137" s="144"/>
      <c r="N137" s="14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9"/>
      <c r="K138" s="145"/>
      <c r="L138" s="144"/>
      <c r="M138" s="144"/>
      <c r="N138" s="14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9"/>
      <c r="K139" s="145"/>
      <c r="L139" s="144"/>
      <c r="M139" s="144"/>
      <c r="N139" s="14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9"/>
      <c r="K140" s="145"/>
      <c r="L140" s="144"/>
      <c r="M140" s="144"/>
      <c r="N140" s="14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9"/>
      <c r="K141" s="145"/>
      <c r="L141" s="144"/>
      <c r="M141" s="144"/>
      <c r="N141" s="14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 s="10" customFormat="1" ht="16.5" customHeight="1" spans="1:32">
      <c r="A142" s="144"/>
      <c r="B142" s="144" t="s">
        <v>360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361</v>
      </c>
      <c r="J142" s="144"/>
      <c r="K142" s="145">
        <f>J142/400</f>
        <v>0</v>
      </c>
      <c r="L142" s="144"/>
      <c r="M142" s="144"/>
      <c r="N142" s="14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 s="10" customFormat="1" ht="16.5" customHeight="1" spans="1:32">
      <c r="A147" s="144" t="s">
        <v>362</v>
      </c>
      <c r="B147" s="144" t="s">
        <v>363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364</v>
      </c>
      <c r="J147" s="144"/>
      <c r="K147" s="145">
        <f>J147/300</f>
        <v>0</v>
      </c>
      <c r="L147" s="144" t="s">
        <v>194</v>
      </c>
      <c r="M147" s="144"/>
      <c r="N147" s="14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 s="10" customFormat="1" ht="16.5" customHeight="1" spans="1:32">
      <c r="A152" s="144"/>
      <c r="B152" s="144" t="s">
        <v>365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366</v>
      </c>
      <c r="J152" s="144"/>
      <c r="K152" s="145">
        <f>J152/400</f>
        <v>0</v>
      </c>
      <c r="L152" s="144"/>
      <c r="M152" s="144"/>
      <c r="N152" s="14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{c225ef76-32b1-4107-b13f-e45856487c0d}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{46a6ce33-a119-4f0f-9e9c-0af763e560d1}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{4dee5fbe-8b0c-4148-84e4-a0e4ca015b21}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{f252c381-faa2-43c3-ac8c-769660b7722d}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{af6bfa59-2503-4199-93c8-065423321a52}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{7c6f9303-3371-416b-b614-5e07de55d60b}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{478cac5c-4898-48d0-8066-d2c7b9d17061}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{78c9caf2-fc88-4cac-aff4-f0f9dfbb20de}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{d660ff2f-58af-4ad0-b6f8-09a9d94d4bd5}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{e7f8e0c2-fc85-4c77-b601-a43fc186b5c5}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{d0a6cac1-cfbe-4a3a-9a9e-f07b2c487ca0}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{b512685c-c9c1-48b1-bfa7-ab7f3b53babb}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{e813553f-d111-4b2f-9da4-d1bcc630326f}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{8bdb300b-fe6d-4a9b-8084-0d876a36e294}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{97d7c685-6583-4710-8165-3088da514fdb}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{377bcbb3-c3a6-4daf-abb6-47bd8caba8ed}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{cf1dd6e6-dcb3-4fa1-bf31-2fd5dda5783d}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{58aadbbe-a478-41bb-881d-90e7ef242127}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{c5382078-42c8-4c88-a3d7-1262eadc26f8}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{8e93b0d0-323b-4ee6-b55c-4db0b5b3bf11}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{a7215c72-9388-45c7-a128-8abd51e34b81}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{1b8330c5-f320-40ef-a39e-7b4d47cfc94a}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{33470546-db21-4587-8f2f-50a1ee0471ce}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{9b85416c-96fb-472d-a412-5c5f2e181852}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{6ec4b172-19b0-4ed4-a5f1-d31a01c712ce}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{c81fee0f-9cca-4b0e-8095-0c6c44946cda}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{d6b1edf8-7445-4954-a5f3-c9963cddc74f}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{8da5670e-87d3-49a5-898a-e4bf5b0cfce7}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{3754de99-96e9-4fce-ae40-035b7acfccd0}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{2e542bea-9208-4ab1-981d-743d946f2639}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{e85b31fd-afeb-416d-8eaf-7a9f23f21d79}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{173cc9b7-8046-4c69-afdb-5731e46922bb}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{522d9ecf-93c3-4a8d-b97c-a18e478013d7}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{aeb2684c-0698-412b-9433-2276031bcd97}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{1fadca5e-532e-47cd-9f78-553e49cd3a15}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{997ab22c-e880-4834-812e-e8c85e47d3ea}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{7aec1cda-b23b-489f-bd42-9b4ba0d853c3}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{6d6aa373-2269-46d3-8464-8c932609ce2c}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{46f6c195-718d-4e14-9728-15ef54a6bf5c}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{d5209a5e-f2a3-4e3a-8a77-1299dda3f7b9}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{5c90f9be-5f18-46af-a49f-b7b41a3fe50a}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{2d59d358-75d8-4e3d-b081-0233aee43e60}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{42cad728-6bf9-4112-8d89-7bf6e89af1c8}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{6a4a0517-ebf3-4b28-af23-cc2a63f8ae51}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{b073d464-325f-46f4-8aca-82c911c2c54a}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{ac525358-0bbb-4b2b-94d7-f5b2f8600c14}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{a680082a-f179-41e4-8956-83005cabed5a}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{99057d32-4a90-4216-ac02-7e171d381eba}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{76e93a2b-b739-407a-822a-a21f39353549}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{e3f9f10b-6c8b-4d75-bb07-c78530f64295}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{c352ec72-1372-4ecf-914c-876293976760}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{b4c305d3-68e1-45e5-9afa-971f2e4f0dbc}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{8952e5d4-f15f-4bbe-9bcb-c544521cacb3}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{10d58e92-8da8-4f3b-ab82-88e5f58cd001}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{7006c997-06b7-42f1-b915-e8f9e36068e6}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{b7e4c6d3-2fbe-4198-9f18-06ec345a0676}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{11f93e7b-d009-4058-97ab-7ee0d80c5603}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{16a7be33-addc-4f85-92ca-9ca9b6a83538}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{15d49145-47bb-4181-b484-e1e5afba6595}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{ff95bea1-253f-41a2-aa3e-8d24806fe3e0}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{db8b16ff-a075-4566-a062-f61ffb4cd307}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{5bb9d894-234f-483c-b4c8-76e4da462943}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{2c9fe9b6-a00e-4c10-b264-c9dee6fc60b6}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{1ce93724-31e5-4546-a045-f58ec92721ee}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{cc9886ff-fcd6-4a53-8597-54d7f2112de1}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{cf58e321-69c2-4c9d-9878-23da3030c0d6}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{41c26bca-2b74-4ba8-b670-f8441c67ee18}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{8ac2b46b-415a-4c3c-a747-7c9df6bb0856}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{20d1b445-c590-4204-94bd-072baa64b8ea}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{313d2e12-39fe-4e0f-9dd0-91c7f0629e7c}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{8bc30156-b7bf-4f9d-999c-fd63f94ac7c1}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{9c5da7b0-fd1e-420c-a06c-70fc4175f740}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{a3ebd163-8418-45f5-9a43-c932ae836997}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{4e18ea4e-eab5-4d2b-a497-db14fc0efdd0}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{e86cbe27-076f-4dd2-85ea-76837f71adc1}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{e1c4336d-ff8b-41e7-b3eb-b727fecf193c}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{adefc37a-f16a-4187-89b7-2299314341a0}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{e757e693-15e0-4595-bf74-1109be2e8df7}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{b2a70351-b30b-41ee-8f5e-8d9f5dcccaf4}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{1b751ad6-9aae-471e-856b-6b9fcea12d3b}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{7c1051e5-84af-4990-a0d9-677820f1a72a}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{3ca49927-f367-4b32-bcfa-ad5fcecf97b0}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{94f1da0b-76fa-4aaa-9ae2-89cc207e971b}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{e40576c4-ad51-4ab1-845c-5c5f9924b5bd}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{e71d0b06-aca6-4d08-8db7-4dd7f409e5e1}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{b3375f06-4fac-496a-afe6-954864bee6d8}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{c67fac55-97ca-4f40-9b7e-a88664bda925}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{ffc1f4f4-4385-4e5d-abe4-2607d9d10086}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{e6424149-2dbf-4588-978c-3e06a1c904c3}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{f80f76eb-67c8-489c-8ec1-130ed5158f5a}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{dc2858ff-8f8f-4d63-9f3f-5754d621243d}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{71c86f7b-727a-4c53-9192-e0f4010c8f60}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{7af86aec-9371-4dec-b230-bdaf05af3f4e}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{ebb74a8b-084f-4efa-8224-17d458b412a7}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{d867b97b-7a06-4f0b-b6fc-883b61e7ab14}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{bce4b6be-cdab-48a9-a066-2c4253c80a15}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{cb30e02c-cc76-4ea7-98ff-dfe6013a897f}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{eb2fbaac-ad3a-4509-acad-a72f80cd0ad5}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{b91e7df2-5bed-47dc-832e-6ba01f1c322b}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{0e72f36c-5955-4e72-b67d-c9a69fb5ee7b}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{075b32f0-5559-4110-9e64-c8e4b78b53f9}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{24f2a45b-dd32-4f1f-a235-3be38e264c81}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{5a73aaa2-8814-467a-8278-425d1ba1d4af}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{8d59a0a5-ffda-4090-877e-a55bb619f89a}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{f0cd1e36-12dd-4dd4-ae4b-63cf2f88022b}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{35198f7e-39ba-47d9-96fb-7482b4546696}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{f61ca27d-8472-4383-ae26-282214c5eecc}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25ef76-32b1-4107-b13f-e45856487c0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6a6ce33-a119-4f0f-9e9c-0af763e560d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ee5fbe-8b0c-4148-84e4-a0e4ca015b2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252c381-faa2-43c3-ac8c-769660b7722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f6bfa59-2503-4199-93c8-065423321a5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c6f9303-3371-416b-b614-5e07de55d60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78cac5c-4898-48d0-8066-d2c7b9d1706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8c9caf2-fc88-4cac-aff4-f0f9dfbb20d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d660ff2f-58af-4ad0-b6f8-09a9d94d4bd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7f8e0c2-fc85-4c77-b601-a43fc186b5c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0a6cac1-cfbe-4a3a-9a9e-f07b2c487ca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512685c-c9c1-48b1-bfa7-ab7f3b53bab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813553f-d111-4b2f-9da4-d1bcc630326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bdb300b-fe6d-4a9b-8084-0d876a36e29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7d7c685-6583-4710-8165-3088da514fd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77bcbb3-c3a6-4daf-abb6-47bd8caba8e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cf1dd6e6-dcb3-4fa1-bf31-2fd5dda5783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8aadbbe-a478-41bb-881d-90e7ef24212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5382078-42c8-4c88-a3d7-1262eadc26f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e93b0d0-323b-4ee6-b55c-4db0b5b3bf1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7215c72-9388-45c7-a128-8abd51e34b8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b8330c5-f320-40ef-a39e-7b4d47cfc94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3470546-db21-4587-8f2f-50a1ee0471c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b85416c-96fb-472d-a412-5c5f2e18185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6ec4b172-19b0-4ed4-a5f1-d31a01c712c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81fee0f-9cca-4b0e-8095-0c6c44946cd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6b1edf8-7445-4954-a5f3-c9963cddc74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da5670e-87d3-49a5-898a-e4bf5b0cfce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754de99-96e9-4fce-ae40-035b7acfccd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e542bea-9208-4ab1-981d-743d946f263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85b31fd-afeb-416d-8eaf-7a9f23f21d7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73cc9b7-8046-4c69-afdb-5731e46922b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522d9ecf-93c3-4a8d-b97c-a18e478013d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eb2684c-0698-412b-9433-2276031bcd9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fadca5e-532e-47cd-9f78-553e49cd3a1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97ab22c-e880-4834-812e-e8c85e47d3e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aec1cda-b23b-489f-bd42-9b4ba0d853c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d6aa373-2269-46d3-8464-8c932609ce2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6f6c195-718d-4e14-9728-15ef54a6bf5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5209a5e-f2a3-4e3a-8a77-1299dda3f7b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5c90f9be-5f18-46af-a49f-b7b41a3fe50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d59d358-75d8-4e3d-b081-0233aee43e6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2cad728-6bf9-4112-8d89-7bf6e89af1c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a4a0517-ebf3-4b28-af23-cc2a63f8ae5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073d464-325f-46f4-8aca-82c911c2c54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c525358-0bbb-4b2b-94d7-f5b2f8600c1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680082a-f179-41e4-8956-83005cabed5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9057d32-4a90-4216-ac02-7e171d381eb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76e93a2b-b739-407a-822a-a21f3935354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f9f10b-6c8b-4d75-bb07-c78530f6429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52ec72-1372-4ecf-914c-87629397676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b4c305d3-68e1-45e5-9afa-971f2e4f0db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52e5d4-f15f-4bbe-9bcb-c544521cacb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0d58e92-8da8-4f3b-ab82-88e5f58cd00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7006c997-06b7-42f1-b915-e8f9e36068e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7e4c6d3-2fbe-4198-9f18-06ec345a067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11f93e7b-d009-4058-97ab-7ee0d80c560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a7be33-addc-4f85-92ca-9ca9b6a8353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5d49145-47bb-4181-b484-e1e5afba659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ff95bea1-253f-41a2-aa3e-8d24806fe3e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8b16ff-a075-4566-a062-f61ffb4cd30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bb9d894-234f-483c-b4c8-76e4da46294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2c9fe9b6-a00e-4c10-b264-c9dee6fc60b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e93724-31e5-4546-a045-f58ec92721e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c9886ff-fcd6-4a53-8597-54d7f2112de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cf58e321-69c2-4c9d-9878-23da3030c0d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c26bca-2b74-4ba8-b670-f8441c67ee1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ac2b46b-415a-4c3c-a747-7c9df6bb085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20d1b445-c590-4204-94bd-072baa64b8e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3d2e12-39fe-4e0f-9dd0-91c7f0629e7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bc30156-b7bf-4f9d-999c-fd63f94ac7c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9c5da7b0-fd1e-420c-a06c-70fc4175f74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3ebd163-8418-45f5-9a43-c932ae83699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e18ea4e-eab5-4d2b-a497-db14fc0efdd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86cbe27-076f-4dd2-85ea-76837f71adc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1c4336d-ff8b-41e7-b3eb-b727fecf193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defc37a-f16a-4187-89b7-2299314341a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757e693-15e0-4595-bf74-1109be2e8df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2a70351-b30b-41ee-8f5e-8d9f5dcccaf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1b751ad6-9aae-471e-856b-6b9fcea12d3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1051e5-84af-4990-a0d9-677820f1a72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3ca49927-f367-4b32-bcfa-ad5fcecf97b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94f1da0b-76fa-4aaa-9ae2-89cc207e971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e40576c4-ad51-4ab1-845c-5c5f9924b5b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e71d0b06-aca6-4d08-8db7-4dd7f409e5e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b3375f06-4fac-496a-afe6-954864bee6d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7fac55-97ca-4f40-9b7e-a88664bda92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fc1f4f4-4385-4e5d-abe4-2607d9d1008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e6424149-2dbf-4588-978c-3e06a1c904c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0f76eb-67c8-489c-8ec1-130ed5158f5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c2858ff-8f8f-4d63-9f3f-5754d621243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71c86f7b-727a-4c53-9192-e0f4010c8f6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f86aec-9371-4dec-b230-bdaf05af3f4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bb74a8b-084f-4efa-8224-17d458b412a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d867b97b-7a06-4f0b-b6fc-883b61e7ab1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e4b6be-cdab-48a9-a066-2c4253c80a1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b30e02c-cc76-4ea7-98ff-dfe6013a897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eb2fbaac-ad3a-4509-acad-a72f80cd0ad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1e7df2-5bed-47dc-832e-6ba01f1c322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0e72f36c-5955-4e72-b67d-c9a69fb5ee7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5b32f0-5559-4110-9e64-c8e4b78b53f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4f2a45b-dd32-4f1f-a235-3be38e264c8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5a73aaa2-8814-467a-8278-425d1ba1d4a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59a0a5-ffda-4090-877e-a55bb619f89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0cd1e36-12dd-4dd4-ae4b-63cf2f88022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35198f7e-39ba-47d9-96fb-7482b454669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61ca27d-8472-4383-ae26-282214c5eec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367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  <c r="J1" s="3" t="s">
        <v>376</v>
      </c>
      <c r="K1" s="3" t="s">
        <v>377</v>
      </c>
      <c r="L1" s="3" t="s">
        <v>378</v>
      </c>
      <c r="M1" s="3" t="s">
        <v>379</v>
      </c>
      <c r="N1" s="3" t="s">
        <v>380</v>
      </c>
      <c r="O1" s="3" t="s">
        <v>381</v>
      </c>
      <c r="P1" s="3" t="s">
        <v>382</v>
      </c>
      <c r="Q1" s="3" t="s">
        <v>383</v>
      </c>
      <c r="R1" s="3" t="s">
        <v>384</v>
      </c>
    </row>
    <row r="2" spans="1:18">
      <c r="A2" s="3" t="s">
        <v>385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386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387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388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2026-05-15T09:10:16Z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