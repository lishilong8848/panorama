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<sst xmlns="http://schemas.openxmlformats.org/spreadsheetml/2006/main" count="709" uniqueCount="389">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</sst>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115" zoomScaleNormal="85" workbookViewId="0">
      <selection activeCell="Q23" sqref="Q23:AA23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 t="e">
        <f>(U13-U12)/U12</f>
        <v>#DIV/0!</v>
      </c>
      <c r="V14" s="69"/>
      <c r="W14" s="70"/>
      <c r="X14" s="68" t="e">
        <f>(X13-X12)/X12</f>
        <v>#DIV/0!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12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 t="e">
        <f>AC29/O59*24</f>
        <v>#DIV/0!</v>
      </c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 t="s">
        <v>15</v>
      </c>
      <c r="M25" s="84" t="s">
        <v>76</v>
      </c>
      <c r="N25" s="88" t="s">
        <v>15</v>
      </c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 t="s">
        <v>15</v>
      </c>
      <c r="Z25" s="84" t="s">
        <v>76</v>
      </c>
      <c r="AA25" s="88" t="s">
        <v>15</v>
      </c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 t="s">
        <v>15</v>
      </c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 t="s">
        <v>15</v>
      </c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 t="s">
        <v>15</v>
      </c>
      <c r="M28" s="84" t="s">
        <v>89</v>
      </c>
      <c r="N28" s="88" t="e">
        <f>N25-N26</f>
        <v>#VALUE!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 t="s">
        <v>15</v>
      </c>
      <c r="Z28" s="84" t="s">
        <v>89</v>
      </c>
      <c r="AA28" s="88" t="e">
        <f>AA25-AA26</f>
        <v>#VALUE!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 t="s">
        <v>15</v>
      </c>
      <c r="M29" s="84" t="s">
        <v>95</v>
      </c>
      <c r="N29" s="88" t="s">
        <v>15</v>
      </c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 t="s">
        <v>15</v>
      </c>
      <c r="Z29" s="84" t="s">
        <v>95</v>
      </c>
      <c r="AA29" s="88" t="s">
        <v>15</v>
      </c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 t="e">
        <f>L29-L25</f>
        <v>#VALUE!</v>
      </c>
      <c r="M30" s="84" t="s">
        <v>101</v>
      </c>
      <c r="N30" s="88" t="s">
        <v>15</v>
      </c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 t="e">
        <f>Y29-Y25</f>
        <v>#VALUE!</v>
      </c>
      <c r="Z30" s="84" t="s">
        <v>101</v>
      </c>
      <c r="AA30" s="88" t="s">
        <v>15</v>
      </c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 t="e">
        <f>N29-N30</f>
        <v>#VALUE!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 t="e">
        <f>AA29-AA30</f>
        <v>#VALUE!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 t="s">
        <v>15</v>
      </c>
      <c r="M35" s="104" t="s">
        <v>76</v>
      </c>
      <c r="N35" s="107" t="s">
        <v>15</v>
      </c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 t="s">
        <v>15</v>
      </c>
      <c r="Z35" s="104" t="s">
        <v>76</v>
      </c>
      <c r="AA35" s="106" t="s">
        <v>15</v>
      </c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 t="s">
        <v>15</v>
      </c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 t="s">
        <v>15</v>
      </c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 t="s">
        <v>15</v>
      </c>
      <c r="M38" s="104" t="s">
        <v>89</v>
      </c>
      <c r="N38" s="107" t="e">
        <f>N35-N36</f>
        <v>#VALUE!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 t="s">
        <v>15</v>
      </c>
      <c r="Z38" s="104" t="s">
        <v>89</v>
      </c>
      <c r="AA38" s="106" t="e">
        <f>AA35-AA36</f>
        <v>#VALUE!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 t="s">
        <v>15</v>
      </c>
      <c r="M39" s="104" t="s">
        <v>95</v>
      </c>
      <c r="N39" s="107" t="s">
        <v>15</v>
      </c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 t="s">
        <v>15</v>
      </c>
      <c r="Z39" s="104" t="s">
        <v>95</v>
      </c>
      <c r="AA39" s="106" t="s">
        <v>15</v>
      </c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 t="e">
        <f>L39-L35</f>
        <v>#VALUE!</v>
      </c>
      <c r="M40" s="104" t="s">
        <v>101</v>
      </c>
      <c r="N40" s="107" t="s">
        <v>15</v>
      </c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 t="e">
        <f>Y39-Y35</f>
        <v>#VALUE!</v>
      </c>
      <c r="Z40" s="104" t="s">
        <v>101</v>
      </c>
      <c r="AA40" s="106" t="s">
        <v>15</v>
      </c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 t="e">
        <f>N39-N40</f>
        <v>#VALUE!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 t="e">
        <f>AA39-AA40</f>
        <v>#VALUE!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4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 t="s">
        <v>199</v>
      </c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200</v>
      </c>
      <c r="P70" s="144"/>
      <c r="Q70" s="144"/>
      <c r="R70" s="148"/>
      <c r="S70" s="149" t="s">
        <v>201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202</v>
      </c>
      <c r="P71" s="144"/>
      <c r="Q71" s="144"/>
      <c r="R71" s="148"/>
      <c r="S71" s="149" t="s">
        <v>203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204</v>
      </c>
      <c r="P72" s="144"/>
      <c r="Q72" s="144"/>
      <c r="R72" s="148"/>
      <c r="S72" s="149" t="s">
        <v>205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/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 t="s">
        <v>211</v>
      </c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212</v>
      </c>
      <c r="P75" s="144"/>
      <c r="Q75" s="144"/>
      <c r="R75" s="148"/>
      <c r="S75" s="149" t="s">
        <v>213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214</v>
      </c>
      <c r="P76" s="144"/>
      <c r="Q76" s="144"/>
      <c r="R76" s="148"/>
      <c r="S76" s="149" t="s">
        <v>215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216</v>
      </c>
      <c r="P77" s="144"/>
      <c r="Q77" s="144"/>
      <c r="R77" s="148"/>
      <c r="S77" s="149" t="s">
        <v>217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/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 t="s">
        <v>199</v>
      </c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/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 t="s">
        <v>211</v>
      </c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/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 t="s">
        <v>199</v>
      </c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/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 t="s">
        <v>211</v>
      </c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/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 t="s">
        <v>199</v>
      </c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/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 t="s">
        <v>211</v>
      </c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/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 t="s">
        <v>199</v>
      </c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/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 t="s">
        <v>211</v>
      </c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/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 t="s">
        <v>199</v>
      </c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/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 t="s">
        <v>211</v>
      </c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/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{f7467478-75db-46bf-afdf-be375420c666}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{2eb897e6-20f9-4722-856f-4dff413864ff}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{a6e64cbb-1e66-4ffd-a734-571fd016c3a2}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{404f47b3-97ab-443f-a6bb-1fd18a10d93d}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{4ebe11f1-ed1b-4373-b5f3-a497f0a12ff1}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{39610c96-7906-418b-b6dc-73e105270551}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{a036462b-e794-4944-bd10-1aeec9e9f30a}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{902e1d20-08c2-40f0-8eae-a206b1031f54}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{00a1bf38-a469-4d5d-8a60-eb55dbe24561}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{e00ca20e-0612-4220-8bbd-f524067cc40b}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{92d75939-9f1f-4026-bd22-2f9f3d9796b5}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{0bc05561-cb09-40a1-a70b-2aa8a22b4263}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{1b8fc686-c8e0-4cb9-bb4d-84b765af7de5}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{d4dfcdcd-f9eb-43d3-86c3-df948552b4a2}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{995e7234-bc1e-4ce6-be70-d1a53f7609b2}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{2f77c3f9-eea7-4fcd-8edf-71e7f1a34fc6}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{b3419640-8a4c-46e2-b383-b1895ab4a1b9}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{bece8bee-8272-48f3-a967-dc0c0f6d7f44}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{7a42a03c-5f6a-40bf-b1fe-374e688701eb}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{ebbec158-2ace-40ca-a91d-0ff44512c666}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{9e3f4808-aa37-4e31-8078-9acae67988fe}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{6cf9996c-203a-45b7-b917-eec38bd8b3b6}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{2d951071-3705-4932-8929-cec1ac74dd8f}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{3c5fec94-750f-4044-8568-3284e7bd6720}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{b14b5c85-05e1-4732-be51-bab9a75ebfc5}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{803d70f5-6517-4a48-b9dd-bb0fd03bc5ba}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{437af854-a673-4b9e-8669-1cd9af6607c4}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{0361bab4-e76a-4618-aada-d6c9ee872e72}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{fcbfd4ea-5e47-455d-8ba5-9edc4f40593f}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{16de1aaa-356f-4d6c-a8b9-70d3cbb3f462}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{c7885fb4-1410-4cf5-9428-6e115d33029c}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{be6fc46f-7260-43e4-95f3-48f9df34eb70}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{265b9ecc-b6c9-44f3-8786-b171dec3d60e}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{e60ffd89-2d79-4bbd-8113-37735820dc42}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{2b021631-93cd-4717-b45f-463a4e91cfd0}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{a0e1f723-be38-43a3-8868-96f77e18a269}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{c279f90d-b0c7-47a8-a156-3b5e5e402c74}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{7e8bf0b9-b56b-4408-978e-70262b09018f}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{05c25bc6-ebbc-4c15-8a8d-80fe170e727f}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{d69f8013-854e-4a74-9dd4-f335e38816fe}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{a3eb7612-e084-42ee-b04e-d573ca01a7b5}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{5c77ef17-e09b-4837-8b5e-4f86d27ef522}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{97f7ebf3-0c8b-452f-a96d-e629a9363387}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{ecde5c31-37e2-47fb-84f1-92b21e83d1f8}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{2bad34e7-80a6-4d57-9d5b-9a9316d3dff6}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{dd46fbef-de39-4b4e-aa2c-bf6cd7992b1e}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{fb3bd2cd-fa68-4390-a51d-1916842884b6}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{38a0da66-3294-40d7-b7e5-e2d5167b6ce3}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{0a7912ea-8da3-4680-ac2e-00f4c381e6e3}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{9cee8346-8284-4750-baa3-3e6474ab42fb}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{8b2fab17-929c-4c0d-96fc-484a771a0ebb}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{ae8c8b2d-a985-445d-bbab-625663859afb}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{a890313b-6127-407e-9d58-3cbc6629af67}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{1a86005f-b640-41f3-8edd-be624da44fae}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{b8785ba3-09b0-41fb-834c-41c2cc0d10d6}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{4480c6c9-f9d7-4cef-8868-4b2f5528be4b}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{a82588ea-a9dc-444c-9170-995c95f5bb43}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{5ee6c5e1-d32a-4a52-8b13-3f8209ed6207}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{98a04183-533e-432e-ba4f-373dad0d49cc}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{72393acf-df5e-4987-8fd4-7e9dd881b216}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{7c6fae99-415d-45ab-84e6-76828260e16f}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{6683e022-0144-4145-b40d-59d1e95c1c45}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{c5056656-db69-4f5e-975e-262245901acd}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{3f6ae1ae-f6d7-4f66-90e8-5e24c97db127}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{c208452d-fdcc-436e-9b6c-53c14c76009c}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{afb89e14-3874-434f-970a-bf4bb81f1240}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{ea932a56-63b4-4b38-87c9-d33fd1c63cdc}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{938350f9-f7cf-44eb-af84-e2a58dd04105}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{e432e9d7-8882-4563-9c41-ec0295d059be}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{91bd7701-5db2-41bd-94ce-9054d2b5ab34}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{6f359c46-0755-4742-8561-4c97d8bdafff}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{cb8b3eee-7316-4225-9ac4-475dffe00db2}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{58d9ca5b-8b67-4a9c-9692-e2fb2e6cdd9e}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{1dd2dd37-c212-41e0-a583-7ccdd798566f}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{9ac998df-4eb4-46f2-ac46-c68b8611611e}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{bd44ce8d-9b94-4ef5-9e32-9dbc1e5c3082}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{1f94ac4d-e045-40c4-98d7-895c72cb0ca2}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{45a371ef-5e80-4024-adb4-36ff980da506}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{aee30381-d6bb-49fb-a720-eed8c5b51d9a}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{8a953f3a-91be-40f5-b891-fdbbbb895397}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{cad354a9-f8df-4af6-ae80-a076ead269e0}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{ef3caea5-64e4-49fe-9b5d-1149c5c19f36}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{cf0635dd-3d47-4562-b381-9f18165a80a7}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{b1b25a36-6144-4dee-bab9-b1fccc1c5335}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{e68d09d9-1eeb-4d4c-9165-dd4d4ad2a487}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{228b55a4-271c-414c-9484-dc396e872318}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{d7755af8-cece-4d94-bb2a-2b2f84bd0344}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{25d2afcb-88a5-4d5f-8776-ff444d0887cf}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{ea7c0a5a-b4f0-4d23-8f6c-fedae897ffe6}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{7cbd75c6-3612-475c-96b5-e3afd81def65}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{8bbb846f-f4c4-4a47-86c8-11ffe8562191}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{158023cb-f866-4818-b105-acdd8a8bbbd5}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{d58aff0d-44f7-4bff-aa4d-1932e7da3cc0}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{7ec80741-a4ef-4d27-88c9-b8fc0133a177}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{9ec2c6c0-3975-4698-a2cd-5b192d126d18}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{b8a98878-1d9c-4f72-80ee-896b39115f45}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{93c97e96-9d70-4a36-8e17-29c502ee7f23}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{537e3c49-bfc4-4c08-b43b-0d9629113268}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{18b40e02-a788-4c44-ae5b-bd2b33a5fada}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{6d47d68d-2793-4477-b5b3-3db1c4fde99e}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{b04baad5-38d9-4ff7-a560-24e3be9b6c3a}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{40fd9384-ca68-4a80-bf0e-8b162113ab89}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{b4d3e4b7-788c-45d4-9705-c2a548a1b553}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{2cc5d0ea-f9b6-455e-990d-5f608bdced94}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{f28846bc-f528-4874-aba1-93536f3c9dbd}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{16455e2e-95bb-4f1e-9ad5-07cd2ea07d9d}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{9ba09e57-7fac-4198-9606-513fdd01d6a2}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467478-75db-46bf-afdf-be375420c66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b897e6-20f9-4722-856f-4dff413864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6e64cbb-1e66-4ffd-a734-571fd016c3a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04f47b3-97ab-443f-a6bb-1fd18a10d93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ebe11f1-ed1b-4373-b5f3-a497f0a12ff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9610c96-7906-418b-b6dc-73e10527055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036462b-e794-4944-bd10-1aeec9e9f30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02e1d20-08c2-40f0-8eae-a206b1031f5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00a1bf38-a469-4d5d-8a60-eb55dbe2456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00ca20e-0612-4220-8bbd-f524067cc40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2d75939-9f1f-4026-bd22-2f9f3d9796b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bc05561-cb09-40a1-a70b-2aa8a22b426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b8fc686-c8e0-4cb9-bb4d-84b765af7de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4dfcdcd-f9eb-43d3-86c3-df948552b4a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95e7234-bc1e-4ce6-be70-d1a53f7609b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f77c3f9-eea7-4fcd-8edf-71e7f1a34fc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b3419640-8a4c-46e2-b383-b1895ab4a1b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ece8bee-8272-48f3-a967-dc0c0f6d7f4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a42a03c-5f6a-40bf-b1fe-374e688701e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bbec158-2ace-40ca-a91d-0ff44512c66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e3f4808-aa37-4e31-8078-9acae67988f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cf9996c-203a-45b7-b917-eec38bd8b3b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d951071-3705-4932-8929-cec1ac74dd8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c5fec94-750f-4044-8568-3284e7bd672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b14b5c85-05e1-4732-be51-bab9a75ebfc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03d70f5-6517-4a48-b9dd-bb0fd03bc5b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37af854-a673-4b9e-8669-1cd9af6607c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361bab4-e76a-4618-aada-d6c9ee872e72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cbfd4ea-5e47-455d-8ba5-9edc4f40593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6de1aaa-356f-4d6c-a8b9-70d3cbb3f46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7885fb4-1410-4cf5-9428-6e115d33029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e6fc46f-7260-43e4-95f3-48f9df34eb7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265b9ecc-b6c9-44f3-8786-b171dec3d60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60ffd89-2d79-4bbd-8113-37735820dc4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b021631-93cd-4717-b45f-463a4e91cfd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0e1f723-be38-43a3-8868-96f77e18a26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279f90d-b0c7-47a8-a156-3b5e5e402c7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e8bf0b9-b56b-4408-978e-70262b09018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5c25bc6-ebbc-4c15-8a8d-80fe170e727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69f8013-854e-4a74-9dd4-f335e38816f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a3eb7612-e084-42ee-b04e-d573ca01a7b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c77ef17-e09b-4837-8b5e-4f86d27ef5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7f7ebf3-0c8b-452f-a96d-e629a936338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cde5c31-37e2-47fb-84f1-92b21e83d1f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bad34e7-80a6-4d57-9d5b-9a9316d3dff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d46fbef-de39-4b4e-aa2c-bf6cd7992b1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b3bd2cd-fa68-4390-a51d-1916842884b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8a0da66-3294-40d7-b7e5-e2d5167b6ce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0a7912ea-8da3-4680-ac2e-00f4c381e6e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ee8346-8284-4750-baa3-3e6474ab42f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2fab17-929c-4c0d-96fc-484a771a0eb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ae8c8b2d-a985-445d-bbab-625663859af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90313b-6127-407e-9d58-3cbc6629af6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a86005f-b640-41f3-8edd-be624da44fa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b8785ba3-09b0-41fb-834c-41c2cc0d10d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480c6c9-f9d7-4cef-8868-4b2f5528be4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a82588ea-a9dc-444c-9170-995c95f5bb4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e6c5e1-d32a-4a52-8b13-3f8209ed620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8a04183-533e-432e-ba4f-373dad0d49c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72393acf-df5e-4987-8fd4-7e9dd881b21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6fae99-415d-45ab-84e6-76828260e16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683e022-0144-4145-b40d-59d1e95c1c4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c5056656-db69-4f5e-975e-262245901ac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6ae1ae-f6d7-4f66-90e8-5e24c97db12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208452d-fdcc-436e-9b6c-53c14c76009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afb89e14-3874-434f-970a-bf4bb81f124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932a56-63b4-4b38-87c9-d33fd1c63cd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38350f9-f7cf-44eb-af84-e2a58dd0410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e432e9d7-8882-4563-9c41-ec0295d059b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bd7701-5db2-41bd-94ce-9054d2b5ab3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f359c46-0755-4742-8561-4c97d8bdaff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cb8b3eee-7316-4225-9ac4-475dffe00db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8d9ca5b-8b67-4a9c-9692-e2fb2e6cdd9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dd2dd37-c212-41e0-a583-7ccdd798566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ac998df-4eb4-46f2-ac46-c68b8611611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d44ce8d-9b94-4ef5-9e32-9dbc1e5c308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f94ac4d-e045-40c4-98d7-895c72cb0ca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5a371ef-5e80-4024-adb4-36ff980da50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ee30381-d6bb-49fb-a720-eed8c5b51d9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8a953f3a-91be-40f5-b891-fdbbbb89539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d354a9-f8df-4af6-ae80-a076ead269e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ef3caea5-64e4-49fe-9b5d-1149c5c19f3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cf0635dd-3d47-4562-b381-9f18165a80a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b1b25a36-6144-4dee-bab9-b1fccc1c53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e68d09d9-1eeb-4d4c-9165-dd4d4ad2a48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228b55a4-271c-414c-9484-dc396e87231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755af8-cece-4d94-bb2a-2b2f84bd034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d2afcb-88a5-4d5f-8776-ff444d0887c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ea7c0a5a-b4f0-4d23-8f6c-fedae897ffe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bd75c6-3612-475c-96b5-e3afd81def6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bb846f-f4c4-4a47-86c8-11ffe856219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158023cb-f866-4818-b105-acdd8a8bbbd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8aff0d-44f7-4bff-aa4d-1932e7da3cc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ec80741-a4ef-4d27-88c9-b8fc0133a17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9ec2c6c0-3975-4698-a2cd-5b192d126d1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a98878-1d9c-4f72-80ee-896b39115f4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3c97e96-9d70-4a36-8e17-29c502ee7f2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537e3c49-bfc4-4c08-b43b-0d962911326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b40e02-a788-4c44-ae5b-bd2b33a5fad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6d47d68d-2793-4477-b5b3-3db1c4fde99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4baad5-38d9-4ff7-a560-24e3be9b6c3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0fd9384-ca68-4a80-bf0e-8b162113ab8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b4d3e4b7-788c-45d4-9705-c2a548a1b55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c5d0ea-f9b6-455e-990d-5f608bdced9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28846bc-f528-4874-aba1-93536f3c9db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16455e2e-95bb-4f1e-9ad5-07cd2ea07d9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a09e57-7fac-4198-9606-513fdd01d6a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2026-05-20T16:49:08Z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