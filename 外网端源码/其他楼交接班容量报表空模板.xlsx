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本班组!$A$2:$AG$156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<sst xmlns="http://schemas.openxmlformats.org/spreadsheetml/2006/main" count="709" uniqueCount="389">
  <si>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</si>
  <si>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</si>
  <si>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</si>
  <si>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</si>
  <si>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</si>
  <si>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</si>
  <si>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</si>
  <si>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</si>
  <si>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</si>
  <si>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</si>
  <si>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</si>
  <si>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</si>
  <si>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</si>
  <si>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</si>
  <si>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</si>
  <si>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</si>
  <si>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</si>
  <si>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</si>
  <si>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</si>
  <si>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</si>
  <si>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</si>
  <si>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</si>
  <si>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</si>
  <si>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</si>
  <si>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</si>
  <si>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</si>
  <si>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</si>
  <si>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</si>
  <si>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</si>
  <si>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</si>
  <si>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</si>
  <si>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</si>
  <si>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</si>
  <si>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</si>
  <si>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</si>
  <si>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</si>
  <si>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</si>
  <si>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</si>
  <si>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</si>
  <si>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</si>
  <si>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</si>
  <si>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</si>
  <si>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</si>
  <si>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</si>
  <si>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</si>
  <si>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</si>
  <si>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</si>
  <si>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</si>
  <si>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</si>
  <si>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</si>
  <si>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</si>
  <si>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</si>
  <si>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</si>
  <si>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</si>
  <si>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</si>
  <si>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</si>
  <si>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</si>
  <si>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</si>
  <si>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</si>
  <si>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</si>
  <si>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</si>
  <si>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</si>
  <si>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</si>
  <si>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</si>
  <si>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</si>
  <si>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</si>
  <si>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</si>
  <si>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</si>
  <si>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</si>
  <si>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</si>
  <si>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</si>
  <si>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</si>
  <si>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</si>
  <si>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</si>
  <si>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</si>
  <si>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</si>
  <si>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</si>
  <si>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</si>
  <si>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</si>
  <si>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</si>
  <si>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</si>
  <si>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</si>
  <si>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</si>
  <si>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</si>
  <si>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</si>
  <si>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</si>
  <si>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</si>
  <si>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</si>
  <si>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</si>
  <si>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</si>
  <si>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</si>
  <si>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</si>
  <si>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</si>
  <si>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</si>
  <si>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</si>
  <si>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</si>
  <si>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</si>
  <si>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</si>
  <si>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</si>
  <si>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</si>
  <si>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</si>
  <si>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</si>
  <si>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</si>
  <si>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</si>
  <si>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</si>
  <si>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</si>
  <si>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</si>
  <si>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</si>
  <si>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</si>
  <si>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</si>
  <si>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</si>
  <si>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</si>
  <si>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</si>
  <si>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</si>
  <si>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</si>
  <si>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</si>
  <si>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</si>
  <si>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</si>
  <si>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</si>
  <si>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</si>
  <si>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</si>
  <si>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</si>
  <si>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</si>
  <si>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</si>
  <si>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</si>
  <si>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</si>
  <si>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</si>
  <si>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</si>
  <si>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</si>
  <si>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</si>
  <si>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</si>
  <si>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</si>
  <si>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</si>
  <si>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</si>
  <si>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</si>
  <si>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</si>
  <si>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</si>
  <si>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</si>
  <si>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</si>
  <si>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</si>
  <si>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</si>
  <si>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</si>
  <si>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</si>
  <si>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</si>
  <si>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</si>
  <si>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</si>
  <si>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</si>
  <si>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</si>
  <si>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</si>
  <si>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</si>
  <si>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</si>
  <si>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</si>
  <si>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</si>
  <si>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</si>
  <si>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</si>
  <si>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</si>
  <si>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</si>
  <si>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</si>
  <si>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</si>
  <si>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</si>
  <si>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</si>
  <si>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</si>
  <si>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</si>
  <si>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</si>
  <si>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</si>
  <si>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</si>
  <si>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</si>
  <si>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</si>
  <si>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</si>
  <si>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</si>
  <si>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</si>
  <si>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</si>
  <si>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</si>
  <si>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</si>
  <si>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</si>
  <si>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</si>
  <si>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</si>
  <si>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</si>
  <si>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</si>
  <si>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</si>
  <si>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</si>
  <si>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</si>
  <si>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</si>
  <si>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</si>
  <si>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</si>
  <si>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</si>
  <si>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</si>
  <si>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</si>
  <si>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</si>
  <si>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</si>
  <si>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</si>
  <si>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</si>
  <si>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</si>
  <si>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-245-TR101</t>
  </si>
  <si>
    <t>正常</t>
  </si>
  <si>
    <t>自投自复</t>
  </si>
  <si>
    <t>-245-UPS-101</t>
  </si>
  <si>
    <t>-245-HVDC-111</t>
  </si>
  <si>
    <t>-202-RPP-DC-1</t>
  </si>
  <si>
    <t>南侧</t>
  </si>
  <si>
    <t>-245-HVDC-121</t>
  </si>
  <si>
    <t>-202-RPP-DC-3</t>
  </si>
  <si>
    <t>-245-HVDC-131</t>
  </si>
  <si>
    <t>-202-RPP-DC-5</t>
  </si>
  <si>
    <t>-245-HVDC-141</t>
  </si>
  <si>
    <t>-202-RPP-DC-7</t>
  </si>
  <si>
    <t xml:space="preserve"> -245-HVDC-151</t>
  </si>
  <si>
    <t>-202-RPP-DC-9</t>
  </si>
  <si>
    <t>-245-TR102</t>
  </si>
  <si>
    <t xml:space="preserve"> -245-HVDC-211</t>
  </si>
  <si>
    <t>-202-RPP-DC-2</t>
  </si>
  <si>
    <t>北侧</t>
  </si>
  <si>
    <t xml:space="preserve"> -245-HVDC-221</t>
  </si>
  <si>
    <t>-202-RPP-DC-4</t>
  </si>
  <si>
    <t xml:space="preserve"> -245-HVDC-231</t>
  </si>
  <si>
    <t>-202-RPP-DC-6</t>
  </si>
  <si>
    <t xml:space="preserve"> -245-HVDC-241</t>
  </si>
  <si>
    <t>-202-RPP-DC-8</t>
  </si>
  <si>
    <t xml:space="preserve"> -245-HVDC-251</t>
  </si>
  <si>
    <t>-202-RPP-DC-10</t>
  </si>
  <si>
    <t>M2</t>
  </si>
  <si>
    <t>-218-TR201</t>
  </si>
  <si>
    <t>-218-UPS-101</t>
  </si>
  <si>
    <t xml:space="preserve"> -218-HVDC-111</t>
  </si>
  <si>
    <t>-201-RPP-DC-1</t>
  </si>
  <si>
    <t>0</t>
  </si>
  <si>
    <t xml:space="preserve"> -218-HVDC-121</t>
  </si>
  <si>
    <t>-201-RPP-DC-3</t>
  </si>
  <si>
    <t xml:space="preserve"> -218-HVDC-131</t>
  </si>
  <si>
    <t>-201-RPP-DC-5</t>
  </si>
  <si>
    <t xml:space="preserve"> -218-HVDC-141</t>
  </si>
  <si>
    <t>-201-RPP-DC-7</t>
  </si>
  <si>
    <t xml:space="preserve"> -218-HVDC-151</t>
  </si>
  <si>
    <t>-201-RPP-DC-9</t>
  </si>
  <si>
    <t>-218-TR202</t>
  </si>
  <si>
    <t xml:space="preserve"> -218-HVDC-211</t>
  </si>
  <si>
    <t>-201-RPP-DC-2</t>
  </si>
  <si>
    <t xml:space="preserve"> -218-HVDC-221</t>
  </si>
  <si>
    <t>-201-RPP-DC-4</t>
  </si>
  <si>
    <t xml:space="preserve"> -218-HVDC-231</t>
  </si>
  <si>
    <t>-201-RPP-DC-6</t>
  </si>
  <si>
    <t xml:space="preserve"> -218-HVDC-241</t>
  </si>
  <si>
    <t>-201-RPP-DC-8</t>
  </si>
  <si>
    <t xml:space="preserve"> -218-HVDC-251</t>
  </si>
  <si>
    <t>-201-RPP-DC-10</t>
  </si>
  <si>
    <t>M3</t>
  </si>
  <si>
    <t>-345-TR101</t>
  </si>
  <si>
    <t>-345-UPS-101</t>
  </si>
  <si>
    <t xml:space="preserve"> -345-HVDC-111</t>
  </si>
  <si>
    <t>-302-RPP-DC-1</t>
  </si>
  <si>
    <t xml:space="preserve"> -345-HVDC-121</t>
  </si>
  <si>
    <t>-302-RPP-DC-3</t>
  </si>
  <si>
    <t xml:space="preserve"> -345-HVDC-131</t>
  </si>
  <si>
    <t>-302-RPP-DC-5</t>
  </si>
  <si>
    <t xml:space="preserve"> -345-HVDC-141</t>
  </si>
  <si>
    <t>-302-RPP-DC-7</t>
  </si>
  <si>
    <t xml:space="preserve"> -345-HVDC-151</t>
  </si>
  <si>
    <t>-302-RPP-DC-9</t>
  </si>
  <si>
    <t xml:space="preserve"> -345-HVDC-161</t>
  </si>
  <si>
    <t>-302-RPP-DC-11</t>
  </si>
  <si>
    <t xml:space="preserve"> -345-HVDC-171</t>
  </si>
  <si>
    <t>-302-RPP-DC-13</t>
  </si>
  <si>
    <t>-345-TR102</t>
  </si>
  <si>
    <t xml:space="preserve"> -345-HVDC-211</t>
  </si>
  <si>
    <t>-302-RPP-DC-2</t>
  </si>
  <si>
    <t xml:space="preserve"> -345-HVDC-221</t>
  </si>
  <si>
    <t>-302-RPP-DC-4</t>
  </si>
  <si>
    <t xml:space="preserve"> -345-HVDC-231</t>
  </si>
  <si>
    <t>-302-RPP-DC-6</t>
  </si>
  <si>
    <t xml:space="preserve"> -345-HVDC-241</t>
  </si>
  <si>
    <t>-302-RPP-DC-8</t>
  </si>
  <si>
    <t xml:space="preserve"> -345-HVDC-251</t>
  </si>
  <si>
    <t>-302-RPP-DC-10</t>
  </si>
  <si>
    <t xml:space="preserve"> -345-HVDC-261</t>
  </si>
  <si>
    <t>-302-RPP-DC-12</t>
  </si>
  <si>
    <t xml:space="preserve"> -345-HVDC-271</t>
  </si>
  <si>
    <t>-302-RPP-DC-14</t>
  </si>
  <si>
    <t>M4</t>
  </si>
  <si>
    <t>-317-TR201</t>
  </si>
  <si>
    <t>-317-UPS-101</t>
  </si>
  <si>
    <t xml:space="preserve"> -317-HVDC-111</t>
  </si>
  <si>
    <t>-301-RPP-DC-1</t>
  </si>
  <si>
    <t xml:space="preserve"> -317-HVDC-121</t>
  </si>
  <si>
    <t>-301-RPP-DC-3</t>
  </si>
  <si>
    <t xml:space="preserve"> -317-HVDC-131</t>
  </si>
  <si>
    <t>-301-RPP-DC-5</t>
  </si>
  <si>
    <t xml:space="preserve"> -317-HVDC-141</t>
  </si>
  <si>
    <t>-301-RPP-DC-7</t>
  </si>
  <si>
    <t xml:space="preserve"> -317-HVDC-151</t>
  </si>
  <si>
    <t>-301-RPP-DC-9</t>
  </si>
  <si>
    <t xml:space="preserve"> -317-HVDC-161</t>
  </si>
  <si>
    <t>-301-RPP-DC-11</t>
  </si>
  <si>
    <t xml:space="preserve"> -317-HVDC-171</t>
  </si>
  <si>
    <t>-301-RPP-DC-13</t>
  </si>
  <si>
    <t>-317-TR202</t>
  </si>
  <si>
    <t xml:space="preserve"> -317-HVDC-211</t>
  </si>
  <si>
    <t>-301-RPP-DC-2</t>
  </si>
  <si>
    <t xml:space="preserve"> -317-HVDC-221</t>
  </si>
  <si>
    <t>-301-RPP-DC-4</t>
  </si>
  <si>
    <t xml:space="preserve"> -317-HVDC-231</t>
  </si>
  <si>
    <t>-301-RPP-DC-6</t>
  </si>
  <si>
    <t xml:space="preserve"> -317-HVDC-241</t>
  </si>
  <si>
    <t>-301-RPP-DC-8</t>
  </si>
  <si>
    <t xml:space="preserve"> -317-HVDC-251</t>
  </si>
  <si>
    <t>-301-RPP-DC-10</t>
  </si>
  <si>
    <t xml:space="preserve"> -317-HVDC-261</t>
  </si>
  <si>
    <t>-301-RPP-DC-12</t>
  </si>
  <si>
    <t xml:space="preserve"> -317-HVDC-271</t>
  </si>
  <si>
    <t>-301-RPP-DC-14</t>
  </si>
  <si>
    <t>M5</t>
  </si>
  <si>
    <t>-445-TR101</t>
  </si>
  <si>
    <t>-445-UPS-101</t>
  </si>
  <si>
    <t>-445-HVDC-111</t>
  </si>
  <si>
    <t>-402-RPP-DC-1</t>
  </si>
  <si>
    <t>-445-HVDC-121</t>
  </si>
  <si>
    <t>-402-RPP-DC-3</t>
  </si>
  <si>
    <t>-445-HVDC-131</t>
  </si>
  <si>
    <t>-402-RPP-DC-5</t>
  </si>
  <si>
    <t>-445-HVDC-141</t>
  </si>
  <si>
    <t>-402-RPP-DC-7</t>
  </si>
  <si>
    <t>-445-HVDC-151</t>
  </si>
  <si>
    <t>-402-RPP-DC-9</t>
  </si>
  <si>
    <t>-445-TR102</t>
  </si>
  <si>
    <t>-445-HVDC-211</t>
  </si>
  <si>
    <t>-402-RPP-DC-2</t>
  </si>
  <si>
    <t>-445-HVDC-221</t>
  </si>
  <si>
    <t>-402-RPP-DC-4</t>
  </si>
  <si>
    <t>-445-HVDC-231</t>
  </si>
  <si>
    <t>-402-RPP-DC-6</t>
  </si>
  <si>
    <t>-445-HVDC-241</t>
  </si>
  <si>
    <t>-402-RPP-DC-8</t>
  </si>
  <si>
    <t>-445-HVDC-251</t>
  </si>
  <si>
    <t>-402-RPP-DC-10</t>
  </si>
  <si>
    <t>M6</t>
  </si>
  <si>
    <t>-417-TR201</t>
  </si>
  <si>
    <t>-417-UPS-101</t>
  </si>
  <si>
    <t>-417-HVDC-111</t>
  </si>
  <si>
    <t>-401-RPP-DC-1</t>
  </si>
  <si>
    <t>-417-HVDC-121</t>
  </si>
  <si>
    <t>-401-RPP-DC-3</t>
  </si>
  <si>
    <t>-417-HVDC-131</t>
  </si>
  <si>
    <t>-401-RPP-DC-5</t>
  </si>
  <si>
    <t>-417-HVDC-141</t>
  </si>
  <si>
    <t>-401-RPP-DC-7</t>
  </si>
  <si>
    <t>-417-HVDC-151</t>
  </si>
  <si>
    <t>-401-RPP-DC-9</t>
  </si>
  <si>
    <t>-417-TR202</t>
  </si>
  <si>
    <t>-417-HVDC-211</t>
  </si>
  <si>
    <t>-401-RPP-DC-2</t>
  </si>
  <si>
    <t>-417-HVDC-221</t>
  </si>
  <si>
    <t>-401-RPP-DC-4</t>
  </si>
  <si>
    <t>-417-HVDC-231</t>
  </si>
  <si>
    <t>-401-RPP-DC-6</t>
  </si>
  <si>
    <t>-417-HVDC-241</t>
  </si>
  <si>
    <t>-401-RPP-DC-8</t>
  </si>
  <si>
    <t>-417-HVDC-251</t>
  </si>
  <si>
    <t>-401-RPP-DC-10</t>
  </si>
  <si>
    <t>P1</t>
  </si>
  <si>
    <t>-144-TR101</t>
  </si>
  <si>
    <t>-144-UPS-101</t>
  </si>
  <si>
    <t>-144-TR102</t>
  </si>
  <si>
    <t>-144-UPS-201</t>
  </si>
  <si>
    <t>P2</t>
  </si>
  <si>
    <t>-120-TR201</t>
  </si>
  <si>
    <t>-120-UPS-101</t>
  </si>
  <si>
    <t>-120-TR202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</si>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</sst>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3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b/>
      <sz val="14"/>
      <color theme="0"/>
      <name val="宋体"/>
      <charset val="134"/>
      <scheme val="minor"/>
    </font>
    <font>
      <sz val="9"/>
      <color indexed="8"/>
      <name val="等线"/>
      <charset val="134"/>
    </font>
    <font>
      <b/>
      <sz val="14"/>
      <color theme="1"/>
      <name val="宋体"/>
      <charset val="134"/>
      <scheme val="minor"/>
    </font>
    <font>
      <b/>
      <sz val="14"/>
      <color rgb="FF000000"/>
      <name val="宋体"/>
      <charset val="134"/>
      <scheme val="minor"/>
    </font>
    <font>
      <sz val="14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0" fillId="12" borderId="3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31">
      <alignment vertical="center"/>
    </xf>
    <xf numFmtId="0" fontId="29" fillId="0" borderId="31">
      <alignment vertical="center"/>
    </xf>
    <xf numFmtId="0" fontId="30" fillId="0" borderId="32">
      <alignment vertical="center"/>
    </xf>
    <xf numFmtId="0" fontId="30" fillId="0" borderId="0">
      <alignment vertical="center"/>
    </xf>
    <xf numFmtId="0" fontId="31" fillId="13" borderId="33">
      <alignment vertical="center"/>
    </xf>
    <xf numFmtId="0" fontId="32" fillId="14" borderId="34">
      <alignment vertical="center"/>
    </xf>
    <xf numFmtId="0" fontId="33" fillId="14" borderId="33">
      <alignment vertical="center"/>
    </xf>
    <xf numFmtId="0" fontId="34" fillId="15" borderId="35">
      <alignment vertical="center"/>
    </xf>
    <xf numFmtId="0" fontId="35" fillId="0" borderId="36">
      <alignment vertical="center"/>
    </xf>
    <xf numFmtId="0" fontId="36" fillId="0" borderId="37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1" fillId="20" borderId="0">
      <alignment vertical="center"/>
    </xf>
    <xf numFmtId="0" fontId="41" fillId="4" borderId="0">
      <alignment vertical="center"/>
    </xf>
    <xf numFmtId="0" fontId="40" fillId="21" borderId="0">
      <alignment vertical="center"/>
    </xf>
    <xf numFmtId="0" fontId="40" fillId="22" borderId="0">
      <alignment vertical="center"/>
    </xf>
    <xf numFmtId="0" fontId="41" fillId="23" borderId="0">
      <alignment vertical="center"/>
    </xf>
    <xf numFmtId="0" fontId="41" fillId="24" borderId="0">
      <alignment vertical="center"/>
    </xf>
    <xf numFmtId="0" fontId="40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1" fillId="28" borderId="0">
      <alignment vertical="center"/>
    </xf>
    <xf numFmtId="0" fontId="40" fillId="29" borderId="0">
      <alignment vertical="center"/>
    </xf>
    <xf numFmtId="0" fontId="40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0" fillId="33" borderId="0">
      <alignment vertical="center"/>
    </xf>
    <xf numFmtId="0" fontId="40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0" fillId="37" borderId="0">
      <alignment vertical="center"/>
    </xf>
    <xf numFmtId="0" fontId="40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0" fillId="41" borderId="0">
      <alignment vertical="center"/>
    </xf>
    <xf numFmtId="0" fontId="0" fillId="0" borderId="0">
      <alignment vertical="center"/>
    </xf>
  </cellStyleXfs>
  <cellXfs count="160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 wrapText="1"/>
    </xf>
    <xf numFmtId="0" fontId="19" fillId="6" borderId="29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49" fontId="1" fillId="3" borderId="29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1" fillId="3" borderId="14" xfId="0" applyNumberFormat="1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49" fontId="20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6"/>
  <sheetViews>
    <sheetView tabSelected="1" view="pageBreakPreview" zoomScale="55" zoomScaleNormal="85" topLeftCell="A20" workbookViewId="0">
      <selection activeCell="S28" sqref="S28:T28"/>
    </sheetView>
  </sheetViews>
  <sheetFormatPr defaultColWidth="9" defaultRowHeight="14"/>
  <cols>
    <col min="2" max="2" width="18.1818181818182" style="1" customWidth="1"/>
    <col min="3" max="3" width="9" style="1" customWidth="1"/>
    <col min="5" max="5" width="9" style="1" customWidth="1"/>
    <col min="6" max="6" width="11.9363636363636" style="1" customWidth="1"/>
    <col min="7" max="8" width="9" style="1" customWidth="1"/>
    <col min="9" max="9" width="16.4090909090909" style="1" customWidth="1"/>
    <col min="10" max="11" width="9" style="1" customWidth="1"/>
    <col min="12" max="12" width="11.9363636363636" style="1" customWidth="1"/>
    <col min="13" max="13" width="9" style="1" customWidth="1"/>
    <col min="14" max="14" width="8.75454545454545" style="1" customWidth="1"/>
    <col min="15" max="15" width="38.1818181818182" style="1" customWidth="1"/>
    <col min="16" max="18" width="9" style="1" customWidth="1"/>
    <col min="19" max="19" width="12.5909090909091" style="1" customWidth="1"/>
    <col min="20" max="20" width="16.5090909090909" style="1" customWidth="1"/>
    <col min="21" max="21" width="9" style="1" customWidth="1"/>
    <col min="22" max="22" width="14.1545454545455" style="1" customWidth="1"/>
    <col min="23" max="24" width="9" style="1" customWidth="1"/>
    <col min="25" max="25" width="10.2545454545455" style="1" customWidth="1"/>
    <col min="26" max="27" width="9" style="1" customWidth="1"/>
    <col min="28" max="28" width="17.4181818181818" style="1" customWidth="1"/>
    <col min="31" max="31" width="11" style="1" customWidth="1"/>
  </cols>
  <sheetData>
    <row r="1" ht="18.75" customHeight="1" spans="1:31">
      <c r="A1" s="11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8.75" customHeight="1" spans="1:31">
      <c r="A2" s="13" t="s">
        <v>0</v>
      </c>
      <c r="B2" s="14"/>
      <c r="C2" s="15"/>
      <c r="D2" s="16"/>
      <c r="E2" s="14"/>
      <c r="F2" s="14"/>
      <c r="G2" s="14"/>
      <c r="H2" s="15"/>
      <c r="I2" s="17" t="s">
        <v>1</v>
      </c>
      <c r="J2" s="18"/>
      <c r="K2" s="19"/>
      <c r="L2" s="20"/>
      <c r="M2" s="14"/>
      <c r="N2" s="15"/>
      <c r="O2" s="21" t="s">
        <v>2</v>
      </c>
      <c r="P2" s="14"/>
      <c r="Q2" s="15"/>
      <c r="R2" s="22"/>
      <c r="S2" s="14"/>
      <c r="T2" s="15"/>
      <c r="U2" s="21" t="s">
        <v>3</v>
      </c>
      <c r="V2" s="14"/>
      <c r="W2" s="15"/>
      <c r="X2" s="23"/>
      <c r="Y2" s="21" t="s">
        <v>4</v>
      </c>
      <c r="Z2" s="14"/>
      <c r="AA2" s="15"/>
      <c r="AB2" s="22"/>
      <c r="AC2" s="15"/>
      <c r="AD2" s="24"/>
      <c r="AE2" s="25"/>
    </row>
    <row r="3" ht="13.5" customHeight="1" spans="1:31">
      <c r="A3" s="26" t="s">
        <v>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5"/>
    </row>
    <row r="4" ht="18.75" customHeight="1" spans="1:31">
      <c r="A4" s="27"/>
      <c r="B4" s="28" t="s">
        <v>6</v>
      </c>
      <c r="C4" s="28" t="s">
        <v>7</v>
      </c>
      <c r="D4" s="15"/>
      <c r="E4" s="29" t="s">
        <v>8</v>
      </c>
      <c r="F4" s="14"/>
      <c r="G4" s="28" t="s">
        <v>9</v>
      </c>
      <c r="H4" s="15"/>
      <c r="I4" s="28" t="s">
        <v>10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5"/>
      <c r="X4" s="28"/>
      <c r="Y4" s="14"/>
      <c r="Z4" s="15"/>
      <c r="AA4" s="28" t="s">
        <v>11</v>
      </c>
      <c r="AB4" s="28" t="s">
        <v>12</v>
      </c>
      <c r="AC4" s="28" t="s">
        <v>13</v>
      </c>
      <c r="AD4" s="28" t="s">
        <v>14</v>
      </c>
      <c r="AE4" s="15"/>
    </row>
    <row r="5" ht="18.75" customHeight="1" spans="1:31">
      <c r="A5" s="30"/>
      <c r="B5" s="28" t="s">
        <v>15</v>
      </c>
      <c r="C5" s="31" t="s">
        <v>15</v>
      </c>
      <c r="D5" s="15"/>
      <c r="E5" s="29"/>
      <c r="F5" s="14"/>
      <c r="G5" s="28"/>
      <c r="H5" s="15"/>
      <c r="I5" s="27" t="s">
        <v>15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5"/>
      <c r="X5" s="27" t="s">
        <v>15</v>
      </c>
      <c r="Y5" s="14"/>
      <c r="Z5" s="15"/>
      <c r="AA5" s="27" t="s">
        <v>15</v>
      </c>
      <c r="AC5" s="27" t="s">
        <v>15</v>
      </c>
      <c r="AD5" s="27" t="s">
        <v>15</v>
      </c>
      <c r="AE5" s="15"/>
    </row>
    <row r="6" ht="18" customHeight="1" spans="1:31">
      <c r="A6" s="26" t="s">
        <v>16</v>
      </c>
      <c r="B6" s="15"/>
      <c r="C6" s="29" t="s">
        <v>17</v>
      </c>
      <c r="D6" s="14"/>
      <c r="E6" s="14"/>
      <c r="F6" s="14"/>
      <c r="G6" s="28"/>
      <c r="H6" s="14"/>
      <c r="I6" s="15"/>
      <c r="J6" s="28" t="s">
        <v>18</v>
      </c>
      <c r="K6" s="14"/>
      <c r="L6" s="15"/>
      <c r="M6" s="32"/>
      <c r="P6" s="28"/>
      <c r="Q6" s="14"/>
      <c r="R6" s="15"/>
      <c r="S6" s="28" t="s">
        <v>19</v>
      </c>
      <c r="T6" s="15"/>
      <c r="U6" s="9"/>
      <c r="V6" s="14"/>
      <c r="W6" s="14"/>
      <c r="X6" s="15"/>
      <c r="Z6" s="33"/>
      <c r="AA6" s="33"/>
      <c r="AB6" s="33"/>
      <c r="AC6" s="33"/>
      <c r="AD6" s="33"/>
      <c r="AE6" s="34"/>
    </row>
    <row r="7" ht="18.75" customHeight="1" spans="1:31">
      <c r="A7" s="27"/>
      <c r="B7" s="27"/>
      <c r="C7" s="29" t="s">
        <v>20</v>
      </c>
      <c r="D7" s="14"/>
      <c r="E7" s="14"/>
      <c r="F7" s="35"/>
      <c r="G7" s="36" t="s">
        <v>15</v>
      </c>
      <c r="H7" s="14"/>
      <c r="I7" s="14"/>
      <c r="J7" s="14"/>
      <c r="K7" s="14"/>
      <c r="L7" s="14"/>
      <c r="M7" s="14"/>
      <c r="N7" s="14"/>
      <c r="O7" s="15"/>
      <c r="P7" s="28" t="s">
        <v>21</v>
      </c>
      <c r="Q7" s="14"/>
      <c r="R7" s="15"/>
      <c r="S7" s="37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</row>
    <row r="8" ht="18.75" customHeight="1" spans="1:31">
      <c r="A8" s="38" t="s">
        <v>22</v>
      </c>
      <c r="B8" s="14"/>
      <c r="C8" s="14"/>
      <c r="D8" s="14"/>
      <c r="E8" s="14"/>
      <c r="F8" s="14"/>
      <c r="G8" s="28" t="s">
        <v>23</v>
      </c>
      <c r="H8" s="14"/>
      <c r="I8" s="15"/>
      <c r="J8" s="28" t="s">
        <v>24</v>
      </c>
      <c r="K8" s="15"/>
      <c r="L8" s="36"/>
      <c r="M8" s="28" t="s">
        <v>25</v>
      </c>
      <c r="N8" s="15"/>
      <c r="O8" s="28">
        <v>0</v>
      </c>
      <c r="P8" s="28" t="s">
        <v>26</v>
      </c>
      <c r="Q8" s="14"/>
      <c r="R8" s="15"/>
      <c r="S8" s="39" t="s">
        <v>15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</row>
    <row r="9" ht="18.75" customHeight="1" spans="1:31">
      <c r="A9" s="40"/>
      <c r="B9" s="14"/>
      <c r="C9" s="14"/>
      <c r="D9" s="14"/>
      <c r="E9" s="14"/>
      <c r="F9" s="14"/>
      <c r="G9" s="28" t="s">
        <v>27</v>
      </c>
      <c r="H9" s="14"/>
      <c r="I9" s="15"/>
      <c r="J9" s="28" t="s">
        <v>24</v>
      </c>
      <c r="K9" s="15"/>
      <c r="M9" s="28" t="s">
        <v>25</v>
      </c>
      <c r="N9" s="15"/>
      <c r="O9" s="41" t="e">
        <f>(L8-#REF!)/#REF!*100%</f>
        <v>#REF!</v>
      </c>
      <c r="P9" s="28" t="s">
        <v>26</v>
      </c>
      <c r="Q9" s="14"/>
      <c r="R9" s="15"/>
      <c r="S9" s="39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</row>
    <row r="10" ht="17.5" customHeight="1" spans="1:31">
      <c r="A10" s="26" t="s">
        <v>28</v>
      </c>
      <c r="B10" s="15"/>
      <c r="C10" s="27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/>
    </row>
    <row r="11" ht="17.5" customHeight="1" spans="1:31">
      <c r="A11" s="28" t="s">
        <v>29</v>
      </c>
      <c r="B11" s="42"/>
      <c r="C11" s="29" t="s">
        <v>30</v>
      </c>
      <c r="D11" s="14"/>
      <c r="E11" s="14"/>
      <c r="F11" s="14"/>
      <c r="G11" s="28" t="s">
        <v>31</v>
      </c>
      <c r="H11" s="14"/>
      <c r="I11" s="15"/>
      <c r="J11" s="28" t="s">
        <v>32</v>
      </c>
      <c r="K11" s="14"/>
      <c r="L11" s="15"/>
      <c r="M11" s="28" t="s">
        <v>33</v>
      </c>
      <c r="N11" s="15"/>
      <c r="O11" s="27"/>
      <c r="P11" s="27"/>
      <c r="Q11" s="14"/>
      <c r="R11" s="14"/>
      <c r="S11" s="14"/>
      <c r="T11" s="15"/>
      <c r="U11" s="28" t="s">
        <v>34</v>
      </c>
      <c r="V11" s="14"/>
      <c r="W11" s="15"/>
      <c r="X11" s="28" t="s">
        <v>35</v>
      </c>
      <c r="Y11" s="15"/>
      <c r="Z11" s="43"/>
      <c r="AA11" s="44"/>
      <c r="AB11" s="44"/>
      <c r="AC11" s="44"/>
      <c r="AD11" s="44"/>
      <c r="AE11" s="45"/>
    </row>
    <row r="12" ht="15" customHeight="1" spans="1:31">
      <c r="A12" s="46"/>
      <c r="B12" s="47"/>
      <c r="C12" s="48" t="s">
        <v>36</v>
      </c>
      <c r="D12" s="14"/>
      <c r="E12" s="14"/>
      <c r="F12" s="15"/>
      <c r="G12" s="49"/>
      <c r="H12" s="50"/>
      <c r="I12" s="48" t="s">
        <v>37</v>
      </c>
      <c r="J12" s="51"/>
      <c r="K12" s="52"/>
      <c r="L12" s="53"/>
      <c r="M12" s="54"/>
      <c r="N12" s="53"/>
      <c r="O12" s="55"/>
      <c r="P12" s="28" t="s">
        <v>38</v>
      </c>
      <c r="Q12" s="56"/>
      <c r="R12" s="42"/>
      <c r="S12" s="57" t="s">
        <v>39</v>
      </c>
      <c r="T12" s="42"/>
      <c r="U12" s="28"/>
      <c r="V12" s="14"/>
      <c r="W12" s="15"/>
      <c r="X12" s="28"/>
      <c r="Y12" s="15"/>
      <c r="Z12" s="58"/>
      <c r="AA12" s="59"/>
      <c r="AB12" s="59"/>
      <c r="AC12" s="59"/>
      <c r="AD12" s="59"/>
      <c r="AE12" s="60"/>
    </row>
    <row r="13" ht="15" customHeight="1" spans="1:31">
      <c r="A13" s="46"/>
      <c r="B13" s="47"/>
      <c r="C13" s="48" t="s">
        <v>40</v>
      </c>
      <c r="D13" s="14"/>
      <c r="E13" s="14"/>
      <c r="F13" s="15"/>
      <c r="G13" s="61"/>
      <c r="H13" s="62"/>
      <c r="I13" s="48" t="s">
        <v>37</v>
      </c>
      <c r="J13" s="51"/>
      <c r="K13" s="52"/>
      <c r="L13" s="53"/>
      <c r="M13" s="54"/>
      <c r="N13" s="53"/>
      <c r="O13" s="55"/>
      <c r="P13" s="46"/>
      <c r="R13" s="47"/>
      <c r="S13" s="63" t="s">
        <v>41</v>
      </c>
      <c r="T13" s="47"/>
      <c r="U13" s="28"/>
      <c r="V13" s="14"/>
      <c r="W13" s="15"/>
      <c r="X13" s="28"/>
      <c r="Y13" s="15"/>
      <c r="Z13" s="58"/>
      <c r="AA13" s="59"/>
      <c r="AB13" s="59"/>
      <c r="AC13" s="59"/>
      <c r="AD13" s="64"/>
      <c r="AE13" s="60"/>
    </row>
    <row r="14" ht="15" customHeight="1" spans="1:31">
      <c r="A14" s="46"/>
      <c r="B14" s="47"/>
      <c r="C14" s="48" t="s">
        <v>42</v>
      </c>
      <c r="D14" s="14"/>
      <c r="E14" s="14"/>
      <c r="F14" s="15"/>
      <c r="G14" s="49"/>
      <c r="H14" s="50"/>
      <c r="I14" s="48" t="s">
        <v>37</v>
      </c>
      <c r="J14" s="51"/>
      <c r="K14" s="52"/>
      <c r="L14" s="53"/>
      <c r="M14" s="54"/>
      <c r="N14" s="53"/>
      <c r="O14" s="55"/>
      <c r="P14" s="65"/>
      <c r="Q14" s="12"/>
      <c r="R14" s="66"/>
      <c r="S14" s="67" t="s">
        <v>25</v>
      </c>
      <c r="T14" s="66"/>
      <c r="U14" s="68" t="e">
        <f>(U13-U12)/U12</f>
        <v>#DIV/0!</v>
      </c>
      <c r="V14" s="69"/>
      <c r="W14" s="70"/>
      <c r="X14" s="68" t="e">
        <f>(X13-X12)/X12</f>
        <v>#DIV/0!</v>
      </c>
      <c r="Y14" s="70"/>
      <c r="Z14" s="58"/>
      <c r="AA14" s="59"/>
      <c r="AB14" s="59"/>
      <c r="AC14" s="59"/>
      <c r="AD14" s="59"/>
      <c r="AE14" s="60"/>
    </row>
    <row r="15" ht="15" customHeight="1" spans="1:31">
      <c r="A15" s="46"/>
      <c r="B15" s="47"/>
      <c r="C15" s="48" t="s">
        <v>43</v>
      </c>
      <c r="D15" s="14"/>
      <c r="E15" s="14"/>
      <c r="F15" s="15"/>
      <c r="G15" s="71"/>
      <c r="H15" s="72"/>
      <c r="I15" s="48" t="s">
        <v>37</v>
      </c>
      <c r="J15" s="51"/>
      <c r="K15" s="52"/>
      <c r="L15" s="53"/>
      <c r="M15" s="54"/>
      <c r="N15" s="53"/>
      <c r="O15" s="30"/>
      <c r="P15" s="28" t="s">
        <v>44</v>
      </c>
      <c r="Q15" s="14"/>
      <c r="R15" s="15"/>
      <c r="S15" s="37"/>
      <c r="T15" s="15"/>
      <c r="U15" s="73"/>
      <c r="V15" s="14"/>
      <c r="W15" s="14"/>
      <c r="X15" s="14"/>
      <c r="Y15" s="15"/>
      <c r="Z15" s="58"/>
      <c r="AA15" s="59"/>
      <c r="AB15" s="59"/>
      <c r="AC15" s="59"/>
      <c r="AD15" s="59"/>
      <c r="AE15" s="60"/>
    </row>
    <row r="16" ht="17.4" customHeight="1" spans="1:31">
      <c r="A16" s="46"/>
      <c r="B16" s="47"/>
      <c r="C16" s="48" t="s">
        <v>45</v>
      </c>
      <c r="D16" s="14"/>
      <c r="E16" s="14"/>
      <c r="F16" s="15"/>
      <c r="G16" s="48"/>
      <c r="H16" s="74"/>
      <c r="I16" s="14"/>
      <c r="J16" s="14"/>
      <c r="K16" s="15"/>
      <c r="L16" s="75"/>
      <c r="M16" s="52"/>
      <c r="N16" s="53"/>
      <c r="O16" s="27"/>
      <c r="P16" s="28" t="s">
        <v>46</v>
      </c>
      <c r="Q16" s="14"/>
      <c r="R16" s="15"/>
      <c r="S16" s="37"/>
      <c r="T16" s="15"/>
      <c r="U16" s="73"/>
      <c r="V16" s="14"/>
      <c r="W16" s="14"/>
      <c r="X16" s="14"/>
      <c r="Y16" s="15"/>
      <c r="Z16" s="58"/>
      <c r="AA16" s="59"/>
      <c r="AB16" s="59"/>
      <c r="AC16" s="59"/>
      <c r="AD16" s="59"/>
      <c r="AE16" s="60"/>
    </row>
    <row r="17" ht="17.4" customHeight="1" spans="1:31">
      <c r="A17" s="46"/>
      <c r="B17" s="47"/>
      <c r="C17" s="48" t="s">
        <v>47</v>
      </c>
      <c r="D17" s="14"/>
      <c r="E17" s="14"/>
      <c r="F17" s="15"/>
      <c r="G17" s="48"/>
      <c r="H17" s="74"/>
      <c r="I17" s="14"/>
      <c r="J17" s="14"/>
      <c r="K17" s="15"/>
      <c r="L17" s="75"/>
      <c r="M17" s="52"/>
      <c r="N17" s="53"/>
      <c r="O17" s="27"/>
      <c r="P17" s="28" t="s">
        <v>48</v>
      </c>
      <c r="Q17" s="14"/>
      <c r="R17" s="15"/>
      <c r="S17" s="37"/>
      <c r="T17" s="15"/>
      <c r="U17" s="76">
        <v>0.25</v>
      </c>
      <c r="V17" s="14"/>
      <c r="W17" s="14"/>
      <c r="X17" s="14"/>
      <c r="Y17" s="15"/>
      <c r="Z17" s="58"/>
      <c r="AA17" s="59"/>
      <c r="AB17" s="59"/>
      <c r="AC17" s="59"/>
      <c r="AD17" s="59"/>
      <c r="AE17" s="60"/>
    </row>
    <row r="18" ht="17.4" customHeight="1" spans="1:31">
      <c r="A18" s="65"/>
      <c r="B18" s="66"/>
      <c r="C18" s="48" t="s">
        <v>49</v>
      </c>
      <c r="D18" s="14"/>
      <c r="E18" s="14"/>
      <c r="F18" s="15"/>
      <c r="G18" s="48"/>
      <c r="H18" s="74"/>
      <c r="I18" s="14"/>
      <c r="J18" s="14"/>
      <c r="K18" s="15"/>
      <c r="L18" s="75"/>
      <c r="M18" s="52"/>
      <c r="N18" s="53"/>
      <c r="O18" s="27"/>
      <c r="P18" s="28" t="s">
        <v>50</v>
      </c>
      <c r="Q18" s="14"/>
      <c r="R18" s="15"/>
      <c r="S18" s="37"/>
      <c r="T18" s="15"/>
      <c r="U18" s="28" t="s">
        <v>51</v>
      </c>
      <c r="V18" s="28">
        <v>7</v>
      </c>
      <c r="W18" s="15"/>
      <c r="X18" s="28" t="s">
        <v>52</v>
      </c>
      <c r="Y18" s="28">
        <v>0</v>
      </c>
      <c r="Z18" s="77"/>
      <c r="AA18" s="78"/>
      <c r="AB18" s="78"/>
      <c r="AC18" s="78"/>
      <c r="AD18" s="78"/>
      <c r="AE18" s="79"/>
    </row>
    <row r="19" ht="17.5" customHeight="1" spans="1:31">
      <c r="A19" s="26" t="s">
        <v>53</v>
      </c>
      <c r="B19" s="15"/>
      <c r="C19" s="27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/>
    </row>
    <row r="20" ht="30" customHeight="1" spans="1:31">
      <c r="A20" s="28"/>
      <c r="B20" s="42"/>
      <c r="C20" s="80" t="s">
        <v>54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5"/>
      <c r="AB20" s="81"/>
      <c r="AC20" s="82"/>
      <c r="AD20" s="82"/>
      <c r="AE20" s="83"/>
    </row>
    <row r="21" ht="30" customHeight="1" spans="1:31">
      <c r="A21" s="46"/>
      <c r="B21" s="47"/>
      <c r="C21" s="40" t="s">
        <v>55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27" t="s">
        <v>15</v>
      </c>
      <c r="P21" s="83" t="s">
        <v>56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5"/>
      <c r="AB21" s="81"/>
      <c r="AC21" s="82"/>
      <c r="AD21" s="82"/>
      <c r="AE21" s="83"/>
    </row>
    <row r="22" ht="60" customHeight="1" spans="1:31">
      <c r="A22" s="46"/>
      <c r="B22" s="47"/>
      <c r="C22" s="84" t="s">
        <v>57</v>
      </c>
      <c r="D22" s="74"/>
      <c r="E22" s="15"/>
      <c r="F22" s="84" t="s">
        <v>58</v>
      </c>
      <c r="G22" s="74"/>
      <c r="H22" s="15"/>
      <c r="I22" s="84" t="s">
        <v>59</v>
      </c>
      <c r="J22" s="74"/>
      <c r="K22" s="15"/>
      <c r="L22" s="84" t="s">
        <v>60</v>
      </c>
      <c r="M22" s="74"/>
      <c r="N22" s="15"/>
      <c r="O22" s="55"/>
      <c r="P22" s="84" t="s">
        <v>57</v>
      </c>
      <c r="Q22" s="74"/>
      <c r="R22" s="15"/>
      <c r="S22" s="84" t="s">
        <v>58</v>
      </c>
      <c r="T22" s="74"/>
      <c r="U22" s="15"/>
      <c r="V22" s="84" t="s">
        <v>59</v>
      </c>
      <c r="W22" s="74"/>
      <c r="X22" s="15"/>
      <c r="Y22" s="84" t="s">
        <v>60</v>
      </c>
      <c r="Z22" s="74"/>
      <c r="AA22" s="15"/>
      <c r="AB22" s="85" t="s">
        <v>61</v>
      </c>
      <c r="AC22" s="86" t="s">
        <v>62</v>
      </c>
      <c r="AD22" s="87"/>
      <c r="AE22" s="53"/>
    </row>
    <row r="23" ht="25.05" customHeight="1" spans="1:31">
      <c r="A23" s="46"/>
      <c r="B23" s="47"/>
      <c r="C23" s="48" t="s">
        <v>63</v>
      </c>
      <c r="D23" s="88" t="s">
        <v>64</v>
      </c>
      <c r="E23" s="14"/>
      <c r="F23" s="14"/>
      <c r="G23" s="14"/>
      <c r="H23" s="14"/>
      <c r="I23" s="14"/>
      <c r="J23" s="14"/>
      <c r="K23" s="14"/>
      <c r="L23" s="14"/>
      <c r="M23" s="14"/>
      <c r="N23" s="15"/>
      <c r="O23" s="55"/>
      <c r="P23" s="48" t="s">
        <v>63</v>
      </c>
      <c r="Q23" s="88" t="s">
        <v>65</v>
      </c>
      <c r="R23" s="14"/>
      <c r="S23" s="14"/>
      <c r="T23" s="14"/>
      <c r="U23" s="14"/>
      <c r="V23" s="14"/>
      <c r="W23" s="14"/>
      <c r="X23" s="14"/>
      <c r="Y23" s="14"/>
      <c r="Z23" s="14"/>
      <c r="AA23" s="15"/>
      <c r="AB23" s="47"/>
      <c r="AC23" s="86" t="s">
        <v>66</v>
      </c>
      <c r="AD23" s="87"/>
      <c r="AE23" s="53"/>
    </row>
    <row r="24" ht="25.05" customHeight="1" spans="1:31">
      <c r="A24" s="46"/>
      <c r="B24" s="47"/>
      <c r="C24" s="48" t="s">
        <v>67</v>
      </c>
      <c r="D24" s="48" t="s">
        <v>68</v>
      </c>
      <c r="E24" s="48" t="s">
        <v>69</v>
      </c>
      <c r="F24" s="14"/>
      <c r="G24" s="15"/>
      <c r="H24" s="48" t="s">
        <v>70</v>
      </c>
      <c r="I24" s="15"/>
      <c r="J24" s="48" t="s">
        <v>71</v>
      </c>
      <c r="K24" s="48" t="s">
        <v>72</v>
      </c>
      <c r="L24" s="14"/>
      <c r="M24" s="14"/>
      <c r="N24" s="15"/>
      <c r="O24" s="55"/>
      <c r="P24" s="48" t="s">
        <v>67</v>
      </c>
      <c r="Q24" s="48" t="s">
        <v>68</v>
      </c>
      <c r="R24" s="48" t="s">
        <v>69</v>
      </c>
      <c r="S24" s="14"/>
      <c r="T24" s="15"/>
      <c r="U24" s="48" t="s">
        <v>70</v>
      </c>
      <c r="V24" s="15"/>
      <c r="W24" s="48" t="s">
        <v>71</v>
      </c>
      <c r="X24" s="48" t="s">
        <v>72</v>
      </c>
      <c r="Y24" s="14"/>
      <c r="Z24" s="14"/>
      <c r="AA24" s="15"/>
      <c r="AB24" s="89" t="s">
        <v>73</v>
      </c>
      <c r="AC24" s="90" t="e">
        <f>AC29/O59*24</f>
        <v>#DIV/0!</v>
      </c>
      <c r="AD24" s="52"/>
      <c r="AE24" s="53"/>
    </row>
    <row r="25" ht="48" customHeight="1" spans="1:31">
      <c r="A25" s="46"/>
      <c r="B25" s="47"/>
      <c r="C25" s="91" t="s">
        <v>74</v>
      </c>
      <c r="D25" s="92" t="s">
        <v>15</v>
      </c>
      <c r="E25" s="74" t="s">
        <v>51</v>
      </c>
      <c r="F25" s="14"/>
      <c r="G25" s="15"/>
      <c r="H25" s="74" t="s">
        <v>51</v>
      </c>
      <c r="I25" s="15"/>
      <c r="J25" s="74" t="s">
        <v>51</v>
      </c>
      <c r="K25" s="84" t="s">
        <v>75</v>
      </c>
      <c r="L25" s="88" t="s">
        <v>15</v>
      </c>
      <c r="M25" s="84" t="s">
        <v>76</v>
      </c>
      <c r="N25" s="88" t="s">
        <v>15</v>
      </c>
      <c r="O25" s="55"/>
      <c r="P25" s="91" t="s">
        <v>74</v>
      </c>
      <c r="Q25" s="92" t="s">
        <v>15</v>
      </c>
      <c r="R25" s="74" t="s">
        <v>51</v>
      </c>
      <c r="S25" s="14"/>
      <c r="T25" s="15"/>
      <c r="U25" s="74" t="s">
        <v>51</v>
      </c>
      <c r="V25" s="15"/>
      <c r="W25" s="74" t="s">
        <v>51</v>
      </c>
      <c r="X25" s="84" t="s">
        <v>75</v>
      </c>
      <c r="Y25" s="88" t="s">
        <v>15</v>
      </c>
      <c r="Z25" s="84" t="s">
        <v>76</v>
      </c>
      <c r="AA25" s="88" t="s">
        <v>15</v>
      </c>
      <c r="AB25" s="89" t="s">
        <v>77</v>
      </c>
      <c r="AC25" s="87"/>
      <c r="AD25" s="52"/>
      <c r="AE25" s="53"/>
    </row>
    <row r="26" ht="24" customHeight="1" spans="1:31">
      <c r="A26" s="46"/>
      <c r="B26" s="47"/>
      <c r="C26" s="84" t="s">
        <v>78</v>
      </c>
      <c r="D26" s="88" t="s">
        <v>15</v>
      </c>
      <c r="E26" s="48" t="s">
        <v>79</v>
      </c>
      <c r="F26" s="74" t="s">
        <v>80</v>
      </c>
      <c r="G26" s="74" t="s">
        <v>81</v>
      </c>
      <c r="H26" s="48" t="s">
        <v>79</v>
      </c>
      <c r="I26" s="74"/>
      <c r="J26" s="74"/>
      <c r="K26" s="84" t="s">
        <v>82</v>
      </c>
      <c r="L26" s="74" t="s">
        <v>15</v>
      </c>
      <c r="M26" s="84" t="s">
        <v>83</v>
      </c>
      <c r="N26" s="93">
        <f>I29</f>
        <v>0</v>
      </c>
      <c r="O26" s="55"/>
      <c r="P26" s="84" t="s">
        <v>78</v>
      </c>
      <c r="Q26" s="88" t="s">
        <v>15</v>
      </c>
      <c r="R26" s="48" t="s">
        <v>79</v>
      </c>
      <c r="S26" s="74" t="s">
        <v>80</v>
      </c>
      <c r="T26" s="74" t="s">
        <v>81</v>
      </c>
      <c r="U26" s="48" t="s">
        <v>79</v>
      </c>
      <c r="V26" s="74"/>
      <c r="W26" s="74"/>
      <c r="X26" s="84" t="s">
        <v>82</v>
      </c>
      <c r="Y26" s="94" t="s">
        <v>15</v>
      </c>
      <c r="Z26" s="84" t="s">
        <v>83</v>
      </c>
      <c r="AA26" s="93">
        <f>V29</f>
        <v>0</v>
      </c>
      <c r="AB26" s="89" t="s">
        <v>84</v>
      </c>
      <c r="AC26" s="87"/>
      <c r="AD26" s="95"/>
      <c r="AE26" s="96"/>
    </row>
    <row r="27" ht="24" customHeight="1" spans="1:31">
      <c r="A27" s="46"/>
      <c r="B27" s="47"/>
      <c r="C27" s="30"/>
      <c r="D27" s="30"/>
      <c r="E27" s="30"/>
      <c r="F27" s="74" t="s">
        <v>15</v>
      </c>
      <c r="G27" s="94" t="s">
        <v>15</v>
      </c>
      <c r="H27" s="30"/>
      <c r="I27" s="30"/>
      <c r="J27" s="30"/>
      <c r="K27" s="30"/>
      <c r="L27" s="30"/>
      <c r="M27" s="30"/>
      <c r="N27" s="30"/>
      <c r="O27" s="55"/>
      <c r="P27" s="30"/>
      <c r="Q27" s="30"/>
      <c r="R27" s="30"/>
      <c r="S27" s="74" t="s">
        <v>15</v>
      </c>
      <c r="T27" s="74" t="s">
        <v>15</v>
      </c>
      <c r="U27" s="30"/>
      <c r="V27" s="30"/>
      <c r="W27" s="30"/>
      <c r="X27" s="30"/>
      <c r="Y27" s="30"/>
      <c r="Z27" s="30"/>
      <c r="AA27" s="30"/>
      <c r="AB27" s="66"/>
      <c r="AC27" s="97"/>
      <c r="AD27" s="98"/>
      <c r="AE27" s="99"/>
    </row>
    <row r="28" ht="42" customHeight="1" spans="1:31">
      <c r="A28" s="46"/>
      <c r="B28" s="47"/>
      <c r="C28" s="84" t="s">
        <v>85</v>
      </c>
      <c r="D28" s="92" t="s">
        <v>15</v>
      </c>
      <c r="E28" s="84" t="s">
        <v>86</v>
      </c>
      <c r="F28" s="74">
        <v>18</v>
      </c>
      <c r="G28" s="15"/>
      <c r="H28" s="84" t="s">
        <v>87</v>
      </c>
      <c r="I28" s="100"/>
      <c r="J28" s="100"/>
      <c r="K28" s="84" t="s">
        <v>88</v>
      </c>
      <c r="L28" s="88" t="s">
        <v>15</v>
      </c>
      <c r="M28" s="84" t="s">
        <v>89</v>
      </c>
      <c r="N28" s="88" t="e">
        <f>N25-N26</f>
        <v>#VALUE!</v>
      </c>
      <c r="O28" s="55"/>
      <c r="P28" s="84" t="s">
        <v>85</v>
      </c>
      <c r="Q28" s="92" t="s">
        <v>15</v>
      </c>
      <c r="R28" s="84" t="s">
        <v>86</v>
      </c>
      <c r="S28" s="74">
        <v>18</v>
      </c>
      <c r="T28" s="15"/>
      <c r="U28" s="84" t="s">
        <v>87</v>
      </c>
      <c r="V28" s="100"/>
      <c r="W28" s="74"/>
      <c r="X28" s="84" t="s">
        <v>88</v>
      </c>
      <c r="Y28" s="101" t="s">
        <v>15</v>
      </c>
      <c r="Z28" s="84" t="s">
        <v>89</v>
      </c>
      <c r="AA28" s="88" t="e">
        <f>AA25-AA26</f>
        <v>#VALUE!</v>
      </c>
      <c r="AB28" s="89" t="s">
        <v>90</v>
      </c>
      <c r="AC28" s="87"/>
      <c r="AD28" s="52"/>
      <c r="AE28" s="53"/>
    </row>
    <row r="29" ht="42" customHeight="1" spans="1:31">
      <c r="A29" s="46"/>
      <c r="B29" s="47"/>
      <c r="C29" s="84" t="s">
        <v>91</v>
      </c>
      <c r="D29" s="92" t="s">
        <v>15</v>
      </c>
      <c r="E29" s="84" t="s">
        <v>92</v>
      </c>
      <c r="F29" s="94"/>
      <c r="G29" s="15"/>
      <c r="H29" s="84" t="s">
        <v>93</v>
      </c>
      <c r="I29" s="74"/>
      <c r="J29" s="74"/>
      <c r="K29" s="84" t="s">
        <v>94</v>
      </c>
      <c r="L29" s="88" t="s">
        <v>15</v>
      </c>
      <c r="M29" s="84" t="s">
        <v>95</v>
      </c>
      <c r="N29" s="88" t="s">
        <v>15</v>
      </c>
      <c r="O29" s="55"/>
      <c r="P29" s="84" t="s">
        <v>91</v>
      </c>
      <c r="Q29" s="92" t="s">
        <v>15</v>
      </c>
      <c r="R29" s="84" t="s">
        <v>92</v>
      </c>
      <c r="S29" s="94"/>
      <c r="T29" s="15"/>
      <c r="U29" s="84" t="s">
        <v>93</v>
      </c>
      <c r="V29" s="74"/>
      <c r="W29" s="74"/>
      <c r="X29" s="84" t="s">
        <v>94</v>
      </c>
      <c r="Y29" s="88" t="s">
        <v>15</v>
      </c>
      <c r="Z29" s="84" t="s">
        <v>95</v>
      </c>
      <c r="AA29" s="88" t="s">
        <v>15</v>
      </c>
      <c r="AB29" s="89" t="s">
        <v>96</v>
      </c>
      <c r="AC29" s="87">
        <f>(AC26+AC28)*2.25*2.25*3.14</f>
        <v>0</v>
      </c>
      <c r="AD29" s="52"/>
      <c r="AE29" s="53"/>
    </row>
    <row r="30" ht="42" customHeight="1" spans="1:31">
      <c r="A30" s="46"/>
      <c r="B30" s="47"/>
      <c r="C30" s="84" t="s">
        <v>97</v>
      </c>
      <c r="D30" s="92" t="s">
        <v>15</v>
      </c>
      <c r="E30" s="84" t="s">
        <v>98</v>
      </c>
      <c r="F30" s="74"/>
      <c r="G30" s="15"/>
      <c r="H30" s="84" t="s">
        <v>99</v>
      </c>
      <c r="I30" s="74"/>
      <c r="J30" s="15"/>
      <c r="K30" s="84" t="s">
        <v>100</v>
      </c>
      <c r="L30" s="74" t="e">
        <f>L29-L25</f>
        <v>#VALUE!</v>
      </c>
      <c r="M30" s="84" t="s">
        <v>101</v>
      </c>
      <c r="N30" s="88" t="s">
        <v>15</v>
      </c>
      <c r="O30" s="55"/>
      <c r="P30" s="84" t="s">
        <v>97</v>
      </c>
      <c r="Q30" s="92" t="s">
        <v>15</v>
      </c>
      <c r="R30" s="84" t="s">
        <v>98</v>
      </c>
      <c r="S30" s="74"/>
      <c r="T30" s="15"/>
      <c r="U30" s="84" t="s">
        <v>99</v>
      </c>
      <c r="V30" s="74"/>
      <c r="W30" s="15"/>
      <c r="X30" s="84" t="s">
        <v>100</v>
      </c>
      <c r="Y30" s="74" t="e">
        <f>Y29-Y25</f>
        <v>#VALUE!</v>
      </c>
      <c r="Z30" s="84" t="s">
        <v>101</v>
      </c>
      <c r="AA30" s="88" t="s">
        <v>15</v>
      </c>
      <c r="AB30" s="102" t="s">
        <v>102</v>
      </c>
      <c r="AC30" s="56"/>
      <c r="AD30" s="56"/>
      <c r="AE30" s="42"/>
    </row>
    <row r="31" ht="42" customHeight="1" spans="1:31">
      <c r="A31" s="46"/>
      <c r="B31" s="47"/>
      <c r="C31" s="84" t="s">
        <v>103</v>
      </c>
      <c r="D31" s="92" t="s">
        <v>15</v>
      </c>
      <c r="E31" s="103"/>
      <c r="F31" s="84"/>
      <c r="G31" s="15"/>
      <c r="H31" s="84" t="s">
        <v>104</v>
      </c>
      <c r="I31" s="74"/>
      <c r="J31" s="15"/>
      <c r="K31" s="84"/>
      <c r="L31" s="84"/>
      <c r="M31" s="84" t="s">
        <v>105</v>
      </c>
      <c r="N31" s="74" t="e">
        <f>N29-N30</f>
        <v>#VALUE!</v>
      </c>
      <c r="O31" s="55"/>
      <c r="P31" s="84" t="s">
        <v>103</v>
      </c>
      <c r="Q31" s="92" t="s">
        <v>15</v>
      </c>
      <c r="R31" s="103"/>
      <c r="S31" s="84"/>
      <c r="T31" s="15"/>
      <c r="U31" s="84" t="s">
        <v>104</v>
      </c>
      <c r="V31" s="74"/>
      <c r="W31" s="15"/>
      <c r="X31" s="84"/>
      <c r="Y31" s="84"/>
      <c r="Z31" s="84" t="s">
        <v>105</v>
      </c>
      <c r="AA31" s="74" t="e">
        <f>AA29-AA30</f>
        <v>#VALUE!</v>
      </c>
      <c r="AE31" s="47"/>
    </row>
    <row r="32" ht="16.95" customHeight="1" spans="1:31">
      <c r="A32" s="46"/>
      <c r="B32" s="47"/>
      <c r="C32" s="27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5"/>
      <c r="O32" s="55"/>
      <c r="P32" s="83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5"/>
      <c r="AB32" s="12"/>
      <c r="AC32" s="12"/>
      <c r="AD32" s="12"/>
      <c r="AE32" s="66"/>
    </row>
    <row r="33" ht="25.05" customHeight="1" spans="1:31">
      <c r="A33" s="46"/>
      <c r="B33" s="47"/>
      <c r="C33" s="28" t="s">
        <v>63</v>
      </c>
      <c r="D33" s="92" t="s">
        <v>106</v>
      </c>
      <c r="E33" s="14"/>
      <c r="F33" s="14"/>
      <c r="G33" s="14"/>
      <c r="H33" s="14"/>
      <c r="I33" s="14"/>
      <c r="J33" s="14"/>
      <c r="K33" s="14"/>
      <c r="L33" s="14"/>
      <c r="M33" s="14"/>
      <c r="N33" s="15"/>
      <c r="O33" s="55"/>
      <c r="P33" s="37" t="s">
        <v>63</v>
      </c>
      <c r="Q33" s="92" t="s">
        <v>106</v>
      </c>
      <c r="R33" s="14"/>
      <c r="S33" s="14"/>
      <c r="T33" s="14"/>
      <c r="U33" s="14"/>
      <c r="V33" s="14"/>
      <c r="W33" s="14"/>
      <c r="X33" s="14"/>
      <c r="Y33" s="14"/>
      <c r="Z33" s="14"/>
      <c r="AA33" s="15"/>
      <c r="AB33" s="89" t="s">
        <v>97</v>
      </c>
      <c r="AC33" s="15"/>
      <c r="AD33" s="104" t="s">
        <v>107</v>
      </c>
      <c r="AE33" s="15"/>
    </row>
    <row r="34" ht="25.05" customHeight="1" spans="1:31">
      <c r="A34" s="46"/>
      <c r="B34" s="47"/>
      <c r="C34" s="28" t="s">
        <v>67</v>
      </c>
      <c r="D34" s="28" t="s">
        <v>68</v>
      </c>
      <c r="E34" s="28" t="s">
        <v>69</v>
      </c>
      <c r="F34" s="14"/>
      <c r="G34" s="15"/>
      <c r="H34" s="28" t="s">
        <v>70</v>
      </c>
      <c r="I34" s="15"/>
      <c r="J34" s="28" t="s">
        <v>71</v>
      </c>
      <c r="K34" s="28" t="s">
        <v>72</v>
      </c>
      <c r="L34" s="14"/>
      <c r="M34" s="14"/>
      <c r="N34" s="15"/>
      <c r="O34" s="55"/>
      <c r="P34" s="37" t="s">
        <v>67</v>
      </c>
      <c r="Q34" s="28" t="s">
        <v>68</v>
      </c>
      <c r="R34" s="28" t="s">
        <v>69</v>
      </c>
      <c r="S34" s="14"/>
      <c r="T34" s="15"/>
      <c r="U34" s="28" t="s">
        <v>70</v>
      </c>
      <c r="V34" s="15"/>
      <c r="W34" s="28" t="s">
        <v>71</v>
      </c>
      <c r="X34" s="28" t="s">
        <v>72</v>
      </c>
      <c r="Y34" s="14"/>
      <c r="Z34" s="14"/>
      <c r="AA34" s="15"/>
      <c r="AB34" s="89" t="s">
        <v>103</v>
      </c>
      <c r="AC34" s="15"/>
      <c r="AD34" s="104" t="s">
        <v>107</v>
      </c>
      <c r="AE34" s="15"/>
    </row>
    <row r="35" ht="42" customHeight="1" spans="1:31">
      <c r="A35" s="46"/>
      <c r="B35" s="47"/>
      <c r="C35" s="105" t="s">
        <v>74</v>
      </c>
      <c r="D35" s="92" t="s">
        <v>15</v>
      </c>
      <c r="E35" s="106" t="s">
        <v>51</v>
      </c>
      <c r="F35" s="14"/>
      <c r="G35" s="15"/>
      <c r="H35" s="106" t="s">
        <v>51</v>
      </c>
      <c r="I35" s="15"/>
      <c r="J35" s="106" t="s">
        <v>51</v>
      </c>
      <c r="K35" s="104" t="s">
        <v>75</v>
      </c>
      <c r="L35" s="106" t="s">
        <v>15</v>
      </c>
      <c r="M35" s="104" t="s">
        <v>76</v>
      </c>
      <c r="N35" s="107" t="s">
        <v>15</v>
      </c>
      <c r="O35" s="55"/>
      <c r="P35" s="105" t="s">
        <v>74</v>
      </c>
      <c r="Q35" s="92" t="s">
        <v>15</v>
      </c>
      <c r="R35" s="106" t="s">
        <v>51</v>
      </c>
      <c r="S35" s="14"/>
      <c r="T35" s="15"/>
      <c r="U35" s="106" t="s">
        <v>51</v>
      </c>
      <c r="V35" s="15"/>
      <c r="W35" s="106" t="s">
        <v>51</v>
      </c>
      <c r="X35" s="104" t="s">
        <v>75</v>
      </c>
      <c r="Y35" s="106" t="s">
        <v>15</v>
      </c>
      <c r="Z35" s="104" t="s">
        <v>76</v>
      </c>
      <c r="AA35" s="106" t="s">
        <v>15</v>
      </c>
      <c r="AB35" s="89" t="s">
        <v>108</v>
      </c>
      <c r="AC35" s="15"/>
      <c r="AD35" s="108" t="s">
        <v>109</v>
      </c>
      <c r="AE35" s="15"/>
    </row>
    <row r="36" ht="24" customHeight="1" spans="1:31">
      <c r="A36" s="46"/>
      <c r="B36" s="47"/>
      <c r="C36" s="104" t="s">
        <v>78</v>
      </c>
      <c r="D36" s="109" t="s">
        <v>15</v>
      </c>
      <c r="E36" s="28" t="s">
        <v>79</v>
      </c>
      <c r="F36" s="106" t="s">
        <v>80</v>
      </c>
      <c r="G36" s="106" t="s">
        <v>81</v>
      </c>
      <c r="H36" s="28" t="s">
        <v>79</v>
      </c>
      <c r="I36" s="106" t="s">
        <v>15</v>
      </c>
      <c r="J36" s="106" t="s">
        <v>15</v>
      </c>
      <c r="K36" s="104" t="s">
        <v>82</v>
      </c>
      <c r="L36" s="106" t="s">
        <v>15</v>
      </c>
      <c r="M36" s="104" t="s">
        <v>83</v>
      </c>
      <c r="N36" s="107">
        <f>I39</f>
        <v>0</v>
      </c>
      <c r="O36" s="55"/>
      <c r="P36" s="104" t="s">
        <v>78</v>
      </c>
      <c r="Q36" s="109" t="s">
        <v>15</v>
      </c>
      <c r="R36" s="28" t="s">
        <v>79</v>
      </c>
      <c r="S36" s="106" t="s">
        <v>80</v>
      </c>
      <c r="T36" s="106" t="s">
        <v>81</v>
      </c>
      <c r="U36" s="28" t="s">
        <v>79</v>
      </c>
      <c r="V36" s="106" t="s">
        <v>15</v>
      </c>
      <c r="W36" s="106" t="s">
        <v>15</v>
      </c>
      <c r="X36" s="104" t="s">
        <v>82</v>
      </c>
      <c r="Y36" s="106" t="s">
        <v>15</v>
      </c>
      <c r="Z36" s="104" t="s">
        <v>83</v>
      </c>
      <c r="AA36" s="106">
        <f>V39</f>
        <v>0</v>
      </c>
      <c r="AB36" s="89" t="s">
        <v>104</v>
      </c>
      <c r="AC36" s="42"/>
      <c r="AD36" s="104" t="s">
        <v>110</v>
      </c>
      <c r="AE36" s="42"/>
    </row>
    <row r="37" ht="24" customHeight="1" spans="1:31">
      <c r="A37" s="46"/>
      <c r="B37" s="47"/>
      <c r="C37" s="30"/>
      <c r="D37" s="30"/>
      <c r="E37" s="30"/>
      <c r="F37" s="106" t="s">
        <v>15</v>
      </c>
      <c r="G37" s="106" t="s">
        <v>15</v>
      </c>
      <c r="H37" s="30"/>
      <c r="I37" s="30"/>
      <c r="J37" s="30"/>
      <c r="K37" s="30"/>
      <c r="L37" s="30"/>
      <c r="M37" s="30"/>
      <c r="N37" s="65"/>
      <c r="O37" s="55"/>
      <c r="P37" s="30"/>
      <c r="Q37" s="30"/>
      <c r="R37" s="30"/>
      <c r="S37" s="106" t="s">
        <v>15</v>
      </c>
      <c r="T37" s="106" t="s">
        <v>15</v>
      </c>
      <c r="U37" s="30"/>
      <c r="V37" s="30"/>
      <c r="W37" s="30"/>
      <c r="X37" s="30"/>
      <c r="Y37" s="30"/>
      <c r="Z37" s="30"/>
      <c r="AA37" s="30"/>
      <c r="AB37" s="12"/>
      <c r="AC37" s="66"/>
      <c r="AD37" s="65"/>
      <c r="AE37" s="66"/>
    </row>
    <row r="38" ht="42" customHeight="1" spans="1:31">
      <c r="A38" s="46"/>
      <c r="B38" s="47"/>
      <c r="C38" s="104" t="s">
        <v>85</v>
      </c>
      <c r="D38" s="92" t="s">
        <v>15</v>
      </c>
      <c r="E38" s="104" t="s">
        <v>86</v>
      </c>
      <c r="F38" s="106">
        <v>18</v>
      </c>
      <c r="G38" s="15"/>
      <c r="H38" s="104" t="s">
        <v>87</v>
      </c>
      <c r="I38" s="106" t="s">
        <v>15</v>
      </c>
      <c r="J38" s="106" t="s">
        <v>15</v>
      </c>
      <c r="K38" s="104" t="s">
        <v>88</v>
      </c>
      <c r="L38" s="106" t="s">
        <v>15</v>
      </c>
      <c r="M38" s="104" t="s">
        <v>89</v>
      </c>
      <c r="N38" s="107" t="e">
        <f>N35-N36</f>
        <v>#VALUE!</v>
      </c>
      <c r="O38" s="55"/>
      <c r="P38" s="104" t="s">
        <v>85</v>
      </c>
      <c r="Q38" s="92" t="s">
        <v>15</v>
      </c>
      <c r="R38" s="104" t="s">
        <v>86</v>
      </c>
      <c r="S38" s="106">
        <v>18</v>
      </c>
      <c r="T38" s="15"/>
      <c r="U38" s="104" t="s">
        <v>87</v>
      </c>
      <c r="V38" s="106" t="s">
        <v>15</v>
      </c>
      <c r="W38" s="106" t="s">
        <v>15</v>
      </c>
      <c r="X38" s="104" t="s">
        <v>88</v>
      </c>
      <c r="Y38" s="106" t="s">
        <v>15</v>
      </c>
      <c r="Z38" s="104" t="s">
        <v>89</v>
      </c>
      <c r="AA38" s="106" t="e">
        <f>AA35-AA36</f>
        <v>#VALUE!</v>
      </c>
      <c r="AB38" s="89" t="s">
        <v>111</v>
      </c>
      <c r="AC38" s="15"/>
      <c r="AD38" s="104" t="s">
        <v>112</v>
      </c>
      <c r="AE38" s="15"/>
    </row>
    <row r="39" ht="42" customHeight="1" spans="1:31">
      <c r="A39" s="46"/>
      <c r="B39" s="47"/>
      <c r="C39" s="104" t="s">
        <v>91</v>
      </c>
      <c r="D39" s="92" t="s">
        <v>15</v>
      </c>
      <c r="E39" s="104" t="s">
        <v>92</v>
      </c>
      <c r="F39" s="106" t="s">
        <v>15</v>
      </c>
      <c r="G39" s="15"/>
      <c r="H39" s="104" t="s">
        <v>93</v>
      </c>
      <c r="I39" s="106"/>
      <c r="J39" s="106" t="s">
        <v>15</v>
      </c>
      <c r="K39" s="104" t="s">
        <v>94</v>
      </c>
      <c r="L39" s="106" t="s">
        <v>15</v>
      </c>
      <c r="M39" s="104" t="s">
        <v>95</v>
      </c>
      <c r="N39" s="107" t="s">
        <v>15</v>
      </c>
      <c r="O39" s="55"/>
      <c r="P39" s="104" t="s">
        <v>91</v>
      </c>
      <c r="Q39" s="92" t="s">
        <v>15</v>
      </c>
      <c r="R39" s="104" t="s">
        <v>92</v>
      </c>
      <c r="S39" s="106" t="s">
        <v>15</v>
      </c>
      <c r="T39" s="15"/>
      <c r="U39" s="104" t="s">
        <v>93</v>
      </c>
      <c r="V39" s="106"/>
      <c r="W39" s="106" t="s">
        <v>15</v>
      </c>
      <c r="X39" s="104" t="s">
        <v>94</v>
      </c>
      <c r="Y39" s="106" t="s">
        <v>15</v>
      </c>
      <c r="Z39" s="104" t="s">
        <v>95</v>
      </c>
      <c r="AA39" s="106" t="s">
        <v>15</v>
      </c>
      <c r="AB39" s="89" t="s">
        <v>113</v>
      </c>
      <c r="AC39" s="15"/>
      <c r="AD39" s="104" t="s">
        <v>114</v>
      </c>
      <c r="AE39" s="15"/>
    </row>
    <row r="40" ht="42" customHeight="1" spans="1:31">
      <c r="A40" s="46"/>
      <c r="B40" s="47"/>
      <c r="C40" s="104" t="s">
        <v>97</v>
      </c>
      <c r="D40" s="92" t="s">
        <v>15</v>
      </c>
      <c r="E40" s="104" t="s">
        <v>98</v>
      </c>
      <c r="F40" s="106" t="s">
        <v>15</v>
      </c>
      <c r="G40" s="15"/>
      <c r="H40" s="104" t="s">
        <v>99</v>
      </c>
      <c r="I40" s="106" t="s">
        <v>15</v>
      </c>
      <c r="J40" s="15"/>
      <c r="K40" s="104" t="s">
        <v>100</v>
      </c>
      <c r="L40" s="106" t="e">
        <f>L39-L35</f>
        <v>#VALUE!</v>
      </c>
      <c r="M40" s="104" t="s">
        <v>101</v>
      </c>
      <c r="N40" s="107" t="s">
        <v>15</v>
      </c>
      <c r="O40" s="55"/>
      <c r="P40" s="104" t="s">
        <v>97</v>
      </c>
      <c r="Q40" s="92" t="s">
        <v>15</v>
      </c>
      <c r="R40" s="104" t="s">
        <v>98</v>
      </c>
      <c r="S40" s="106" t="s">
        <v>15</v>
      </c>
      <c r="T40" s="15"/>
      <c r="U40" s="104" t="s">
        <v>99</v>
      </c>
      <c r="V40" s="106" t="s">
        <v>15</v>
      </c>
      <c r="W40" s="15"/>
      <c r="X40" s="104" t="s">
        <v>100</v>
      </c>
      <c r="Y40" s="106" t="e">
        <f>Y39-Y35</f>
        <v>#VALUE!</v>
      </c>
      <c r="Z40" s="104" t="s">
        <v>101</v>
      </c>
      <c r="AA40" s="106" t="s">
        <v>15</v>
      </c>
      <c r="AB40" s="89" t="s">
        <v>115</v>
      </c>
      <c r="AC40" s="15"/>
      <c r="AD40" s="104" t="s">
        <v>116</v>
      </c>
      <c r="AE40" s="15"/>
    </row>
    <row r="41" ht="42" customHeight="1" spans="1:31">
      <c r="A41" s="46"/>
      <c r="B41" s="47"/>
      <c r="C41" s="104" t="s">
        <v>103</v>
      </c>
      <c r="D41" s="92" t="s">
        <v>15</v>
      </c>
      <c r="E41" s="104"/>
      <c r="F41" s="104"/>
      <c r="G41" s="104"/>
      <c r="H41" s="104" t="s">
        <v>104</v>
      </c>
      <c r="I41" s="106" t="s">
        <v>15</v>
      </c>
      <c r="J41" s="15"/>
      <c r="K41" s="104"/>
      <c r="L41" s="104"/>
      <c r="M41" s="104" t="s">
        <v>105</v>
      </c>
      <c r="N41" s="107" t="e">
        <f>N39-N40</f>
        <v>#VALUE!</v>
      </c>
      <c r="O41" s="55"/>
      <c r="P41" s="104" t="s">
        <v>103</v>
      </c>
      <c r="Q41" s="92" t="s">
        <v>15</v>
      </c>
      <c r="R41" s="104"/>
      <c r="S41" s="104"/>
      <c r="T41" s="104"/>
      <c r="U41" s="104" t="s">
        <v>104</v>
      </c>
      <c r="V41" s="106" t="s">
        <v>15</v>
      </c>
      <c r="W41" s="15"/>
      <c r="X41" s="104"/>
      <c r="Y41" s="104"/>
      <c r="Z41" s="104" t="s">
        <v>105</v>
      </c>
      <c r="AA41" s="106" t="e">
        <f>AA39-AA40</f>
        <v>#VALUE!</v>
      </c>
      <c r="AB41" s="81"/>
      <c r="AC41" s="82"/>
      <c r="AD41" s="82"/>
      <c r="AE41" s="83"/>
    </row>
    <row r="42" ht="42" customHeight="1" spans="1:31">
      <c r="A42" s="46"/>
      <c r="B42" s="47"/>
      <c r="C42" s="28" t="s">
        <v>117</v>
      </c>
      <c r="D42" s="92" t="s">
        <v>118</v>
      </c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30"/>
      <c r="P42" s="28" t="s">
        <v>117</v>
      </c>
      <c r="Q42" s="92" t="s">
        <v>118</v>
      </c>
      <c r="R42" s="14"/>
      <c r="S42" s="14"/>
      <c r="T42" s="14"/>
      <c r="U42" s="14"/>
      <c r="V42" s="14"/>
      <c r="W42" s="14"/>
      <c r="X42" s="14"/>
      <c r="Y42" s="14"/>
      <c r="Z42" s="14"/>
      <c r="AA42" s="15"/>
      <c r="AB42" s="81"/>
      <c r="AC42" s="82"/>
      <c r="AD42" s="82"/>
      <c r="AE42" s="83"/>
    </row>
    <row r="43" ht="30" customHeight="1" spans="1:31">
      <c r="A43" s="46"/>
      <c r="B43" s="47"/>
      <c r="C43" s="80" t="s">
        <v>119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5"/>
      <c r="AB43" s="81"/>
      <c r="AC43" s="82"/>
      <c r="AD43" s="82"/>
      <c r="AE43" s="83"/>
    </row>
    <row r="44" ht="30" customHeight="1" spans="1:31">
      <c r="A44" s="46"/>
      <c r="B44" s="47"/>
      <c r="C44" s="27" t="s">
        <v>55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5"/>
      <c r="O44" s="27"/>
      <c r="P44" s="27" t="s">
        <v>56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5"/>
      <c r="AB44" s="81"/>
      <c r="AC44" s="82"/>
      <c r="AD44" s="82"/>
      <c r="AE44" s="83"/>
    </row>
    <row r="45" ht="42" customHeight="1" spans="1:31">
      <c r="A45" s="46"/>
      <c r="B45" s="47"/>
      <c r="C45" s="104" t="s">
        <v>120</v>
      </c>
      <c r="D45" s="15"/>
      <c r="E45" s="106" t="s">
        <v>121</v>
      </c>
      <c r="F45" s="104" t="s">
        <v>122</v>
      </c>
      <c r="G45" s="106">
        <v>0.09</v>
      </c>
      <c r="H45" s="15"/>
      <c r="I45" s="104" t="s">
        <v>123</v>
      </c>
      <c r="J45" s="106">
        <v>0.089</v>
      </c>
      <c r="K45" s="15"/>
      <c r="L45" s="104" t="s">
        <v>124</v>
      </c>
      <c r="M45" s="106">
        <v>0.09</v>
      </c>
      <c r="N45" s="15"/>
      <c r="O45" s="55"/>
      <c r="P45" s="104" t="s">
        <v>120</v>
      </c>
      <c r="Q45" s="15"/>
      <c r="R45" s="106" t="s">
        <v>121</v>
      </c>
      <c r="S45" s="104" t="s">
        <v>125</v>
      </c>
      <c r="T45" s="106">
        <v>0.09</v>
      </c>
      <c r="U45" s="15"/>
      <c r="V45" s="104" t="s">
        <v>123</v>
      </c>
      <c r="W45" s="106">
        <v>0.089</v>
      </c>
      <c r="X45" s="15"/>
      <c r="Y45" s="104" t="s">
        <v>124</v>
      </c>
      <c r="Z45" s="106">
        <v>0.093</v>
      </c>
      <c r="AA45" s="15"/>
      <c r="AB45" s="81"/>
      <c r="AC45" s="82"/>
      <c r="AD45" s="82"/>
      <c r="AE45" s="83"/>
    </row>
    <row r="46" ht="42" customHeight="1" spans="1:31">
      <c r="A46" s="46"/>
      <c r="B46" s="47"/>
      <c r="C46" s="104" t="s">
        <v>126</v>
      </c>
      <c r="D46" s="15"/>
      <c r="E46" s="106" t="s">
        <v>127</v>
      </c>
      <c r="F46" s="104" t="s">
        <v>122</v>
      </c>
      <c r="G46" s="106">
        <v>0.09</v>
      </c>
      <c r="H46" s="15"/>
      <c r="I46" s="104" t="s">
        <v>123</v>
      </c>
      <c r="J46" s="106">
        <v>0.089</v>
      </c>
      <c r="K46" s="15"/>
      <c r="L46" s="104" t="s">
        <v>124</v>
      </c>
      <c r="M46" s="106">
        <v>0.09</v>
      </c>
      <c r="N46" s="15"/>
      <c r="O46" s="55"/>
      <c r="P46" s="104" t="s">
        <v>126</v>
      </c>
      <c r="Q46" s="15"/>
      <c r="R46" s="106" t="s">
        <v>127</v>
      </c>
      <c r="S46" s="104" t="s">
        <v>125</v>
      </c>
      <c r="T46" s="106">
        <v>0.09</v>
      </c>
      <c r="U46" s="15"/>
      <c r="V46" s="104" t="s">
        <v>123</v>
      </c>
      <c r="W46" s="106">
        <v>0.09</v>
      </c>
      <c r="X46" s="15"/>
      <c r="Y46" s="104" t="s">
        <v>124</v>
      </c>
      <c r="Z46" s="106">
        <v>0.093</v>
      </c>
      <c r="AA46" s="15"/>
      <c r="AB46" s="81"/>
      <c r="AC46" s="82"/>
      <c r="AD46" s="82"/>
      <c r="AE46" s="83"/>
    </row>
    <row r="47" ht="25.05" customHeight="1" spans="1:31">
      <c r="A47" s="46"/>
      <c r="B47" s="47"/>
      <c r="C47" s="92" t="s">
        <v>128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5"/>
      <c r="O47" s="55"/>
      <c r="P47" s="92" t="s">
        <v>129</v>
      </c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5"/>
      <c r="AB47" s="81"/>
      <c r="AC47" s="82"/>
      <c r="AD47" s="82"/>
      <c r="AE47" s="83"/>
    </row>
    <row r="48" ht="42" customHeight="1" spans="1:31">
      <c r="A48" s="46"/>
      <c r="B48" s="47"/>
      <c r="C48" s="104" t="s">
        <v>130</v>
      </c>
      <c r="D48" s="106">
        <v>30.1</v>
      </c>
      <c r="E48" s="104" t="s">
        <v>131</v>
      </c>
      <c r="F48" s="15"/>
      <c r="G48" s="106">
        <v>0.28</v>
      </c>
      <c r="H48" s="15"/>
      <c r="I48" s="104" t="s">
        <v>132</v>
      </c>
      <c r="J48" s="15"/>
      <c r="K48" s="106">
        <v>0.38</v>
      </c>
      <c r="L48" s="15"/>
      <c r="M48" s="104" t="s">
        <v>133</v>
      </c>
      <c r="N48" s="106">
        <f>K48-G48</f>
        <v>0.1</v>
      </c>
      <c r="O48" s="55"/>
      <c r="P48" s="104" t="s">
        <v>130</v>
      </c>
      <c r="Q48" s="106">
        <v>30</v>
      </c>
      <c r="R48" s="104" t="s">
        <v>131</v>
      </c>
      <c r="S48" s="15"/>
      <c r="T48" s="106">
        <v>0.26</v>
      </c>
      <c r="U48" s="15"/>
      <c r="V48" s="104" t="s">
        <v>132</v>
      </c>
      <c r="W48" s="15"/>
      <c r="X48" s="106">
        <v>0.36</v>
      </c>
      <c r="Y48" s="15"/>
      <c r="Z48" s="104" t="s">
        <v>133</v>
      </c>
      <c r="AA48" s="104">
        <f>X48-T48</f>
        <v>0.1</v>
      </c>
      <c r="AB48" s="81"/>
      <c r="AC48" s="82"/>
      <c r="AD48" s="82"/>
      <c r="AE48" s="83"/>
    </row>
    <row r="49" ht="25.05" customHeight="1" spans="1:31">
      <c r="A49" s="46"/>
      <c r="B49" s="47"/>
      <c r="C49" s="92" t="s">
        <v>134</v>
      </c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5"/>
      <c r="O49" s="55"/>
      <c r="P49" s="92" t="s">
        <v>134</v>
      </c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5"/>
      <c r="AB49" s="81"/>
      <c r="AC49" s="82"/>
      <c r="AD49" s="82"/>
      <c r="AE49" s="83"/>
    </row>
    <row r="50" ht="42" customHeight="1" spans="1:31">
      <c r="A50" s="46"/>
      <c r="B50" s="47"/>
      <c r="C50" s="104" t="s">
        <v>130</v>
      </c>
      <c r="D50" s="106" t="s">
        <v>15</v>
      </c>
      <c r="E50" s="104" t="s">
        <v>131</v>
      </c>
      <c r="F50" s="15"/>
      <c r="G50" s="106">
        <v>0</v>
      </c>
      <c r="H50" s="15"/>
      <c r="I50" s="104" t="s">
        <v>132</v>
      </c>
      <c r="J50" s="15"/>
      <c r="K50" s="106">
        <v>0</v>
      </c>
      <c r="L50" s="15"/>
      <c r="M50" s="104" t="s">
        <v>133</v>
      </c>
      <c r="N50" s="106">
        <f>K50-G50</f>
        <v>0</v>
      </c>
      <c r="O50" s="55"/>
      <c r="P50" s="104" t="s">
        <v>130</v>
      </c>
      <c r="Q50" s="106" t="s">
        <v>15</v>
      </c>
      <c r="R50" s="104" t="s">
        <v>131</v>
      </c>
      <c r="S50" s="15"/>
      <c r="T50" s="106">
        <v>0</v>
      </c>
      <c r="U50" s="15"/>
      <c r="V50" s="104" t="s">
        <v>132</v>
      </c>
      <c r="W50" s="15"/>
      <c r="X50" s="106">
        <v>0</v>
      </c>
      <c r="Y50" s="15"/>
      <c r="Z50" s="104" t="s">
        <v>133</v>
      </c>
      <c r="AA50" s="104">
        <f>X50-T50</f>
        <v>0</v>
      </c>
      <c r="AB50" s="81"/>
      <c r="AC50" s="82"/>
      <c r="AD50" s="82"/>
      <c r="AE50" s="83"/>
    </row>
    <row r="51" ht="42" customHeight="1" spans="1:31">
      <c r="A51" s="65"/>
      <c r="B51" s="66"/>
      <c r="C51" s="104" t="s">
        <v>135</v>
      </c>
      <c r="D51" s="92" t="s">
        <v>118</v>
      </c>
      <c r="E51" s="14"/>
      <c r="F51" s="14"/>
      <c r="G51" s="14"/>
      <c r="H51" s="14"/>
      <c r="I51" s="14"/>
      <c r="J51" s="14"/>
      <c r="K51" s="14"/>
      <c r="L51" s="14"/>
      <c r="M51" s="14"/>
      <c r="N51" s="15"/>
      <c r="O51" s="30"/>
      <c r="P51" s="104" t="s">
        <v>135</v>
      </c>
      <c r="Q51" s="92" t="s">
        <v>118</v>
      </c>
      <c r="R51" s="14"/>
      <c r="S51" s="14"/>
      <c r="T51" s="14"/>
      <c r="U51" s="14"/>
      <c r="V51" s="14"/>
      <c r="W51" s="14"/>
      <c r="X51" s="14"/>
      <c r="Y51" s="14"/>
      <c r="Z51" s="14"/>
      <c r="AA51" s="15"/>
      <c r="AB51" s="81"/>
      <c r="AC51" s="82"/>
      <c r="AD51" s="82"/>
      <c r="AE51" s="83"/>
    </row>
    <row r="52" spans="1:31">
      <c r="A52" s="26" t="s">
        <v>136</v>
      </c>
      <c r="B52" s="15"/>
      <c r="C52" s="110" t="s">
        <v>15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5"/>
    </row>
    <row r="53" spans="1:31">
      <c r="A53" s="26" t="s">
        <v>137</v>
      </c>
      <c r="B53" s="15"/>
      <c r="C53" s="110" t="s">
        <v>15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5"/>
    </row>
    <row r="54" spans="1:31">
      <c r="A54" s="26" t="s">
        <v>138</v>
      </c>
      <c r="B54" s="15"/>
      <c r="C54" s="110" t="s">
        <v>15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5"/>
    </row>
    <row r="55" spans="1:31">
      <c r="A55" s="26" t="s">
        <v>139</v>
      </c>
      <c r="B55" s="15"/>
      <c r="C55" s="110" t="s">
        <v>15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5"/>
    </row>
    <row r="56" spans="1:31">
      <c r="A56" s="111" t="s">
        <v>140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5"/>
    </row>
    <row r="57" ht="28" customHeight="1" spans="1:31">
      <c r="A57" s="112" t="s">
        <v>141</v>
      </c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64"/>
      <c r="N57" s="64"/>
      <c r="O57" s="1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5"/>
      <c r="AA57" s="64"/>
      <c r="AB57" s="115" t="s">
        <v>142</v>
      </c>
      <c r="AC57" s="115" t="s">
        <v>143</v>
      </c>
      <c r="AD57" s="116" t="s">
        <v>144</v>
      </c>
      <c r="AE57" s="15"/>
    </row>
    <row r="58" spans="1:31">
      <c r="A58" s="117" t="s">
        <v>145</v>
      </c>
      <c r="B58" s="72"/>
      <c r="C58" s="118" t="s">
        <v>146</v>
      </c>
      <c r="D58" s="72"/>
      <c r="E58" s="118" t="s">
        <v>147</v>
      </c>
      <c r="F58" s="72"/>
      <c r="G58" s="119" t="s">
        <v>148</v>
      </c>
      <c r="H58" s="72"/>
      <c r="I58" s="118" t="s">
        <v>149</v>
      </c>
      <c r="J58" s="72"/>
      <c r="K58" s="118" t="s">
        <v>150</v>
      </c>
      <c r="L58" s="72"/>
      <c r="M58" s="120"/>
      <c r="N58" s="120"/>
      <c r="O58" s="121" t="s">
        <v>151</v>
      </c>
      <c r="P58" s="14"/>
      <c r="Q58" s="15"/>
      <c r="R58" s="104" t="s">
        <v>77</v>
      </c>
      <c r="S58" s="14"/>
      <c r="T58" s="14"/>
      <c r="U58" s="15"/>
      <c r="V58" s="104" t="s">
        <v>152</v>
      </c>
      <c r="W58" s="14"/>
      <c r="X58" s="15"/>
      <c r="Y58" s="104" t="s">
        <v>153</v>
      </c>
      <c r="Z58" s="15"/>
      <c r="AA58" s="64"/>
      <c r="AB58" s="122">
        <v>1272</v>
      </c>
      <c r="AC58" s="122">
        <v>2</v>
      </c>
      <c r="AD58" s="68">
        <f>AC58/AB58</f>
        <v>0.00157232704402516</v>
      </c>
      <c r="AE58" s="42"/>
    </row>
    <row r="59" spans="1:31">
      <c r="A59" s="117" t="s">
        <v>154</v>
      </c>
      <c r="B59" s="72"/>
      <c r="C59" s="118"/>
      <c r="D59" s="72"/>
      <c r="E59" s="118"/>
      <c r="F59" s="72"/>
      <c r="G59" s="118"/>
      <c r="H59" s="72"/>
      <c r="I59" s="118"/>
      <c r="J59" s="72"/>
      <c r="K59" s="123"/>
      <c r="L59" s="72"/>
      <c r="M59" s="64"/>
      <c r="N59" s="64"/>
      <c r="O59" s="28"/>
      <c r="P59" s="56"/>
      <c r="Q59" s="42"/>
      <c r="R59" s="124"/>
      <c r="S59" s="56"/>
      <c r="T59" s="56"/>
      <c r="U59" s="125"/>
      <c r="V59" s="126"/>
      <c r="W59" s="56"/>
      <c r="X59" s="125"/>
      <c r="Y59" s="127"/>
      <c r="Z59" s="42"/>
      <c r="AA59" s="64"/>
      <c r="AB59" s="30"/>
      <c r="AC59" s="30"/>
      <c r="AD59" s="65"/>
      <c r="AE59" s="66"/>
    </row>
    <row r="60" spans="1:31">
      <c r="A60" s="117" t="s">
        <v>155</v>
      </c>
      <c r="B60" s="72"/>
      <c r="C60" s="118"/>
      <c r="D60" s="72"/>
      <c r="E60" s="118"/>
      <c r="F60" s="72"/>
      <c r="G60" s="118"/>
      <c r="H60" s="72"/>
      <c r="I60" s="118"/>
      <c r="J60" s="72"/>
      <c r="K60" s="123"/>
      <c r="L60" s="72"/>
      <c r="M60" s="64"/>
      <c r="N60" s="64"/>
      <c r="O60" s="65"/>
      <c r="P60" s="12"/>
      <c r="Q60" s="66"/>
      <c r="R60" s="65"/>
      <c r="S60" s="12"/>
      <c r="T60" s="12"/>
      <c r="U60" s="128"/>
      <c r="V60" s="129"/>
      <c r="W60" s="12"/>
      <c r="X60" s="128"/>
      <c r="Y60" s="129"/>
      <c r="Z60" s="66"/>
      <c r="AA60" s="64"/>
      <c r="AB60" s="130"/>
      <c r="AC60" s="14"/>
      <c r="AD60" s="14"/>
      <c r="AE60" s="15"/>
    </row>
    <row r="61" ht="28" customHeight="1" spans="1:31">
      <c r="A61" s="131"/>
      <c r="B61" s="131"/>
      <c r="C61" s="117" t="s">
        <v>146</v>
      </c>
      <c r="D61" s="72"/>
      <c r="E61" s="118" t="s">
        <v>156</v>
      </c>
      <c r="F61" s="72"/>
      <c r="G61" s="119" t="s">
        <v>148</v>
      </c>
      <c r="H61" s="72"/>
      <c r="I61" s="118" t="s">
        <v>149</v>
      </c>
      <c r="J61" s="72"/>
      <c r="K61" s="118" t="s">
        <v>150</v>
      </c>
      <c r="L61" s="72"/>
      <c r="M61" s="120"/>
      <c r="N61" s="120"/>
      <c r="O61" s="132" t="s">
        <v>157</v>
      </c>
      <c r="P61" s="14"/>
      <c r="Q61" s="14"/>
      <c r="R61" s="15"/>
      <c r="S61" s="104" t="s">
        <v>158</v>
      </c>
      <c r="T61" s="14"/>
      <c r="U61" s="15"/>
      <c r="V61" s="104" t="s">
        <v>159</v>
      </c>
      <c r="W61" s="14"/>
      <c r="X61" s="14"/>
      <c r="Y61" s="14"/>
      <c r="Z61" s="15"/>
      <c r="AA61" s="64"/>
      <c r="AB61" s="116" t="s">
        <v>160</v>
      </c>
      <c r="AC61" s="116" t="s">
        <v>161</v>
      </c>
      <c r="AD61" s="116" t="s">
        <v>162</v>
      </c>
      <c r="AE61" s="15"/>
    </row>
    <row r="62" spans="1:31">
      <c r="A62" s="117" t="s">
        <v>163</v>
      </c>
      <c r="B62" s="72"/>
      <c r="C62" s="118"/>
      <c r="D62" s="72"/>
      <c r="E62" s="118"/>
      <c r="F62" s="72"/>
      <c r="G62" s="118"/>
      <c r="H62" s="72"/>
      <c r="I62" s="118"/>
      <c r="J62" s="72"/>
      <c r="K62" s="123"/>
      <c r="L62" s="72"/>
      <c r="M62" s="64"/>
      <c r="N62" s="64"/>
      <c r="O62" s="132"/>
      <c r="P62" s="56"/>
      <c r="Q62" s="56"/>
      <c r="R62" s="42"/>
      <c r="S62" s="104">
        <v>0</v>
      </c>
      <c r="T62" s="56"/>
      <c r="U62" s="42"/>
      <c r="V62" s="133"/>
      <c r="W62" s="95"/>
      <c r="X62" s="95"/>
      <c r="Y62" s="95"/>
      <c r="Z62" s="96"/>
      <c r="AA62" s="64"/>
      <c r="AB62" s="104">
        <v>14100</v>
      </c>
      <c r="AC62" s="104">
        <f>S62</f>
        <v>0</v>
      </c>
      <c r="AD62" s="68">
        <f>AC62/AB62</f>
        <v>0</v>
      </c>
      <c r="AE62" s="42"/>
    </row>
    <row r="63" spans="1:31">
      <c r="A63" s="117" t="s">
        <v>164</v>
      </c>
      <c r="B63" s="72"/>
      <c r="C63" s="118"/>
      <c r="D63" s="72"/>
      <c r="E63" s="118"/>
      <c r="F63" s="72"/>
      <c r="G63" s="118"/>
      <c r="H63" s="72"/>
      <c r="I63" s="118"/>
      <c r="J63" s="72"/>
      <c r="K63" s="123"/>
      <c r="L63" s="72"/>
      <c r="M63" s="64"/>
      <c r="N63" s="64"/>
      <c r="O63" s="129"/>
      <c r="P63" s="12"/>
      <c r="Q63" s="12"/>
      <c r="R63" s="66"/>
      <c r="S63" s="65"/>
      <c r="T63" s="12"/>
      <c r="U63" s="66"/>
      <c r="V63" s="97"/>
      <c r="W63" s="98"/>
      <c r="X63" s="98"/>
      <c r="Y63" s="98"/>
      <c r="Z63" s="99"/>
      <c r="AA63" s="64"/>
      <c r="AB63" s="30"/>
      <c r="AC63" s="30"/>
      <c r="AD63" s="65"/>
      <c r="AE63" s="66"/>
    </row>
    <row r="64" spans="1:31">
      <c r="A64" s="117" t="s">
        <v>165</v>
      </c>
      <c r="B64" s="72"/>
      <c r="C64" s="118"/>
      <c r="D64" s="72"/>
      <c r="E64" s="118"/>
      <c r="F64" s="72"/>
      <c r="G64" s="118"/>
      <c r="H64" s="72"/>
      <c r="I64" s="118"/>
      <c r="J64" s="72"/>
      <c r="K64" s="123"/>
      <c r="L64" s="72"/>
      <c r="M64" s="134"/>
      <c r="N64" s="64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64"/>
      <c r="AB64" s="135"/>
      <c r="AC64" s="135"/>
      <c r="AD64" s="136"/>
      <c r="AE64" s="136"/>
    </row>
    <row r="65" spans="1:32">
      <c r="A65" s="117" t="s">
        <v>166</v>
      </c>
      <c r="B65" s="72"/>
      <c r="C65" s="118"/>
      <c r="D65" s="72"/>
      <c r="E65" s="118"/>
      <c r="F65" s="72"/>
      <c r="G65" s="118"/>
      <c r="H65" s="72"/>
      <c r="I65" s="118"/>
      <c r="J65" s="72"/>
      <c r="K65" s="123"/>
      <c r="L65" s="72"/>
      <c r="M65" s="134"/>
      <c r="N65" s="64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64"/>
      <c r="AB65" s="135"/>
      <c r="AC65" s="135"/>
      <c r="AD65" s="136"/>
      <c r="AE65" s="136"/>
    </row>
    <row r="66" spans="1:32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</row>
    <row r="67" s="10" customFormat="1" ht="17.5" spans="1:32">
      <c r="A67" s="137"/>
      <c r="B67" s="138"/>
      <c r="C67" s="138"/>
      <c r="D67" s="138"/>
      <c r="E67" s="138"/>
      <c r="F67" s="139"/>
      <c r="G67" s="139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40"/>
    </row>
    <row r="68" s="10" customFormat="1" ht="74" customHeight="1" spans="1:32">
      <c r="A68" s="141" t="s">
        <v>167</v>
      </c>
      <c r="B68" s="141" t="s">
        <v>168</v>
      </c>
      <c r="C68" s="141" t="s">
        <v>169</v>
      </c>
      <c r="D68" s="142" t="s">
        <v>170</v>
      </c>
      <c r="E68" s="141" t="s">
        <v>171</v>
      </c>
      <c r="F68" s="141" t="s">
        <v>172</v>
      </c>
      <c r="G68" s="42"/>
      <c r="H68" s="141" t="s">
        <v>173</v>
      </c>
      <c r="I68" s="141" t="s">
        <v>174</v>
      </c>
      <c r="J68" s="141" t="s">
        <v>175</v>
      </c>
      <c r="K68" s="141" t="s">
        <v>172</v>
      </c>
      <c r="L68" s="141" t="s">
        <v>176</v>
      </c>
      <c r="M68" s="141" t="s">
        <v>177</v>
      </c>
      <c r="N68" s="141" t="s">
        <v>178</v>
      </c>
      <c r="O68" s="141" t="s">
        <v>179</v>
      </c>
      <c r="P68" s="141" t="s">
        <v>180</v>
      </c>
      <c r="Q68" s="141" t="s">
        <v>178</v>
      </c>
      <c r="R68" s="141" t="s">
        <v>181</v>
      </c>
      <c r="S68" s="141" t="s">
        <v>182</v>
      </c>
      <c r="T68" s="42"/>
      <c r="U68" s="141" t="s">
        <v>171</v>
      </c>
      <c r="V68" s="141" t="s">
        <v>172</v>
      </c>
      <c r="W68" s="141" t="s">
        <v>183</v>
      </c>
      <c r="X68" s="141" t="s">
        <v>184</v>
      </c>
      <c r="Y68" s="141" t="s">
        <v>185</v>
      </c>
      <c r="Z68" s="141" t="s">
        <v>186</v>
      </c>
      <c r="AA68" s="141" t="s">
        <v>187</v>
      </c>
      <c r="AB68" s="141" t="s">
        <v>188</v>
      </c>
      <c r="AC68" s="141" t="s">
        <v>189</v>
      </c>
      <c r="AD68" s="141" t="s">
        <v>190</v>
      </c>
      <c r="AE68" s="143" t="s">
        <v>191</v>
      </c>
    </row>
    <row r="69" s="10" customFormat="1" ht="14.15" customHeight="1" spans="1:32">
      <c r="A69" s="144" t="s">
        <v>192</v>
      </c>
      <c r="B69" s="144" t="s">
        <v>193</v>
      </c>
      <c r="C69" s="144" t="s">
        <v>194</v>
      </c>
      <c r="D69" s="144"/>
      <c r="E69" s="144"/>
      <c r="F69" s="145">
        <f>E69/2500</f>
        <v>0</v>
      </c>
      <c r="G69" s="145"/>
      <c r="H69" s="146" t="s">
        <v>195</v>
      </c>
      <c r="I69" s="146" t="s">
        <v>196</v>
      </c>
      <c r="J69" s="144"/>
      <c r="K69" s="145">
        <f>J69/300</f>
        <v>0</v>
      </c>
      <c r="L69" s="144" t="s">
        <v>194</v>
      </c>
      <c r="M69" s="144"/>
      <c r="N69" s="144"/>
      <c r="O69" s="147" t="s">
        <v>197</v>
      </c>
      <c r="P69" s="144"/>
      <c r="Q69" s="144"/>
      <c r="R69" s="148"/>
      <c r="S69" s="149" t="s">
        <v>198</v>
      </c>
      <c r="T69" s="149"/>
      <c r="U69" s="144">
        <f t="shared" ref="U69:U132" si="0">R69*0.935</f>
        <v>0</v>
      </c>
      <c r="V69" s="150">
        <f t="shared" ref="V69:V132" si="1">U69/215</f>
        <v>0</v>
      </c>
      <c r="W69" s="146">
        <v>202</v>
      </c>
      <c r="X69" s="144">
        <f>SUM(U69:U78)</f>
        <v>0</v>
      </c>
      <c r="Y69" s="145">
        <f>X69/2150</f>
        <v>0</v>
      </c>
      <c r="Z69" s="144">
        <v>170</v>
      </c>
      <c r="AA69" s="151">
        <v>168</v>
      </c>
      <c r="AB69" s="145">
        <f>67/Z69</f>
        <v>0.394117647058824</v>
      </c>
      <c r="AC69" s="152">
        <v>0</v>
      </c>
      <c r="AD69" s="152">
        <f>20-AC69</f>
        <v>20</v>
      </c>
      <c r="AE69" s="153" t="s">
        <v>199</v>
      </c>
      <c r="AF69" s="154"/>
    </row>
    <row r="70" s="10" customFormat="1" ht="14.15" customHeight="1" spans="1:32">
      <c r="A70" s="144"/>
      <c r="B70" s="144"/>
      <c r="C70" s="144"/>
      <c r="D70" s="144"/>
      <c r="E70" s="144"/>
      <c r="F70" s="145"/>
      <c r="G70" s="145"/>
      <c r="H70" s="146"/>
      <c r="I70" s="146"/>
      <c r="J70" s="144"/>
      <c r="K70" s="145"/>
      <c r="L70" s="144"/>
      <c r="M70" s="144"/>
      <c r="N70" s="144"/>
      <c r="O70" s="147" t="s">
        <v>200</v>
      </c>
      <c r="P70" s="144"/>
      <c r="Q70" s="144"/>
      <c r="R70" s="148"/>
      <c r="S70" s="149" t="s">
        <v>201</v>
      </c>
      <c r="T70" s="149"/>
      <c r="U70" s="144">
        <f t="shared" si="0"/>
        <v>0</v>
      </c>
      <c r="V70" s="150">
        <f t="shared" si="1"/>
        <v>0</v>
      </c>
      <c r="W70" s="146"/>
      <c r="X70" s="144"/>
      <c r="Y70" s="145"/>
      <c r="Z70" s="144"/>
      <c r="AA70" s="151"/>
      <c r="AB70" s="145"/>
      <c r="AC70" s="152"/>
      <c r="AD70" s="152"/>
      <c r="AE70" s="155"/>
      <c r="AF70" s="154"/>
    </row>
    <row r="71" s="10" customFormat="1" ht="14.15" customHeight="1" spans="1:32">
      <c r="A71" s="144"/>
      <c r="B71" s="144"/>
      <c r="C71" s="144"/>
      <c r="D71" s="144"/>
      <c r="E71" s="144"/>
      <c r="F71" s="145"/>
      <c r="G71" s="145"/>
      <c r="H71" s="146"/>
      <c r="I71" s="146"/>
      <c r="J71" s="144"/>
      <c r="K71" s="145"/>
      <c r="L71" s="144"/>
      <c r="M71" s="144"/>
      <c r="N71" s="144"/>
      <c r="O71" s="147" t="s">
        <v>202</v>
      </c>
      <c r="P71" s="144"/>
      <c r="Q71" s="144"/>
      <c r="R71" s="148"/>
      <c r="S71" s="149" t="s">
        <v>203</v>
      </c>
      <c r="T71" s="149"/>
      <c r="U71" s="144">
        <f t="shared" si="0"/>
        <v>0</v>
      </c>
      <c r="V71" s="150">
        <f t="shared" si="1"/>
        <v>0</v>
      </c>
      <c r="W71" s="146"/>
      <c r="X71" s="144"/>
      <c r="Y71" s="145"/>
      <c r="Z71" s="144"/>
      <c r="AA71" s="151"/>
      <c r="AB71" s="145"/>
      <c r="AC71" s="152"/>
      <c r="AD71" s="152"/>
      <c r="AE71" s="156"/>
      <c r="AF71" s="154"/>
    </row>
    <row r="72" s="10" customFormat="1" ht="14.15" customHeight="1" spans="1:32">
      <c r="A72" s="144"/>
      <c r="B72" s="144"/>
      <c r="C72" s="144"/>
      <c r="D72" s="144"/>
      <c r="E72" s="144"/>
      <c r="F72" s="145"/>
      <c r="G72" s="145"/>
      <c r="H72" s="146"/>
      <c r="I72" s="146"/>
      <c r="J72" s="144"/>
      <c r="K72" s="145"/>
      <c r="L72" s="144"/>
      <c r="M72" s="144"/>
      <c r="N72" s="144"/>
      <c r="O72" s="147" t="s">
        <v>204</v>
      </c>
      <c r="P72" s="144"/>
      <c r="Q72" s="144"/>
      <c r="R72" s="148"/>
      <c r="S72" s="149" t="s">
        <v>205</v>
      </c>
      <c r="T72" s="149"/>
      <c r="U72" s="144">
        <f t="shared" si="0"/>
        <v>0</v>
      </c>
      <c r="V72" s="150">
        <f t="shared" si="1"/>
        <v>0</v>
      </c>
      <c r="W72" s="146"/>
      <c r="X72" s="144"/>
      <c r="Y72" s="145"/>
      <c r="Z72" s="144"/>
      <c r="AA72" s="151"/>
      <c r="AB72" s="145"/>
      <c r="AC72" s="152"/>
      <c r="AD72" s="152"/>
      <c r="AE72" s="153"/>
      <c r="AF72" s="154"/>
    </row>
    <row r="73" s="10" customFormat="1" ht="14.15" customHeight="1" spans="1:32">
      <c r="A73" s="144"/>
      <c r="B73" s="144"/>
      <c r="C73" s="144"/>
      <c r="D73" s="144"/>
      <c r="E73" s="144"/>
      <c r="F73" s="145"/>
      <c r="G73" s="145"/>
      <c r="H73" s="146"/>
      <c r="I73" s="146"/>
      <c r="J73" s="144"/>
      <c r="K73" s="145"/>
      <c r="L73" s="144"/>
      <c r="M73" s="144"/>
      <c r="N73" s="144"/>
      <c r="O73" s="147" t="s">
        <v>206</v>
      </c>
      <c r="P73" s="144"/>
      <c r="Q73" s="144"/>
      <c r="R73" s="148"/>
      <c r="S73" s="149" t="s">
        <v>207</v>
      </c>
      <c r="T73" s="149"/>
      <c r="U73" s="144">
        <f t="shared" si="0"/>
        <v>0</v>
      </c>
      <c r="V73" s="150">
        <f t="shared" si="1"/>
        <v>0</v>
      </c>
      <c r="W73" s="146"/>
      <c r="X73" s="144"/>
      <c r="Y73" s="145"/>
      <c r="Z73" s="144"/>
      <c r="AA73" s="151"/>
      <c r="AB73" s="145"/>
      <c r="AC73" s="152"/>
      <c r="AD73" s="152"/>
      <c r="AE73" s="156"/>
      <c r="AF73" s="154"/>
    </row>
    <row r="74" s="10" customFormat="1" ht="14.15" customHeight="1" spans="1:32">
      <c r="A74" s="144"/>
      <c r="B74" s="144" t="s">
        <v>208</v>
      </c>
      <c r="C74" s="144" t="s">
        <v>194</v>
      </c>
      <c r="D74" s="144"/>
      <c r="E74" s="144"/>
      <c r="F74" s="145">
        <f>E74/2500</f>
        <v>0</v>
      </c>
      <c r="G74" s="145"/>
      <c r="H74" s="146" t="s">
        <v>195</v>
      </c>
      <c r="I74" s="146"/>
      <c r="J74" s="144"/>
      <c r="K74" s="145"/>
      <c r="L74" s="144"/>
      <c r="M74" s="144"/>
      <c r="N74" s="144"/>
      <c r="O74" s="147" t="s">
        <v>209</v>
      </c>
      <c r="P74" s="144"/>
      <c r="Q74" s="144"/>
      <c r="R74" s="148"/>
      <c r="S74" s="149" t="s">
        <v>210</v>
      </c>
      <c r="T74" s="149"/>
      <c r="U74" s="144">
        <f t="shared" si="0"/>
        <v>0</v>
      </c>
      <c r="V74" s="150">
        <f t="shared" si="1"/>
        <v>0</v>
      </c>
      <c r="W74" s="146"/>
      <c r="X74" s="144"/>
      <c r="Y74" s="145"/>
      <c r="Z74" s="144"/>
      <c r="AA74" s="151"/>
      <c r="AB74" s="145"/>
      <c r="AC74" s="152"/>
      <c r="AD74" s="152"/>
      <c r="AE74" s="153" t="s">
        <v>211</v>
      </c>
      <c r="AF74" s="154"/>
    </row>
    <row r="75" s="10" customFormat="1" ht="14.15" customHeight="1" spans="1:32">
      <c r="A75" s="144"/>
      <c r="B75" s="144"/>
      <c r="C75" s="144"/>
      <c r="D75" s="144"/>
      <c r="E75" s="144"/>
      <c r="F75" s="145"/>
      <c r="G75" s="145"/>
      <c r="H75" s="146"/>
      <c r="I75" s="146"/>
      <c r="J75" s="144"/>
      <c r="K75" s="145"/>
      <c r="L75" s="144"/>
      <c r="M75" s="144"/>
      <c r="N75" s="144"/>
      <c r="O75" s="147" t="s">
        <v>212</v>
      </c>
      <c r="P75" s="144"/>
      <c r="Q75" s="144"/>
      <c r="R75" s="148"/>
      <c r="S75" s="149" t="s">
        <v>213</v>
      </c>
      <c r="T75" s="149"/>
      <c r="U75" s="144">
        <f t="shared" si="0"/>
        <v>0</v>
      </c>
      <c r="V75" s="150">
        <f t="shared" si="1"/>
        <v>0</v>
      </c>
      <c r="W75" s="146"/>
      <c r="X75" s="144"/>
      <c r="Y75" s="145"/>
      <c r="Z75" s="144"/>
      <c r="AA75" s="151"/>
      <c r="AB75" s="145"/>
      <c r="AC75" s="152"/>
      <c r="AD75" s="152"/>
      <c r="AE75" s="155"/>
      <c r="AF75" s="154"/>
    </row>
    <row r="76" s="10" customFormat="1" ht="14.15" customHeight="1" spans="1:32">
      <c r="A76" s="144"/>
      <c r="B76" s="144"/>
      <c r="C76" s="144"/>
      <c r="D76" s="144"/>
      <c r="E76" s="144"/>
      <c r="F76" s="145"/>
      <c r="G76" s="145"/>
      <c r="H76" s="146"/>
      <c r="I76" s="146"/>
      <c r="J76" s="144"/>
      <c r="K76" s="145"/>
      <c r="L76" s="144"/>
      <c r="M76" s="144"/>
      <c r="N76" s="144"/>
      <c r="O76" s="147" t="s">
        <v>214</v>
      </c>
      <c r="P76" s="144"/>
      <c r="Q76" s="144"/>
      <c r="R76" s="148"/>
      <c r="S76" s="149" t="s">
        <v>215</v>
      </c>
      <c r="T76" s="149"/>
      <c r="U76" s="144">
        <f t="shared" si="0"/>
        <v>0</v>
      </c>
      <c r="V76" s="150">
        <f t="shared" si="1"/>
        <v>0</v>
      </c>
      <c r="W76" s="146"/>
      <c r="X76" s="144"/>
      <c r="Y76" s="145"/>
      <c r="Z76" s="144"/>
      <c r="AA76" s="151"/>
      <c r="AB76" s="145"/>
      <c r="AC76" s="152"/>
      <c r="AD76" s="152"/>
      <c r="AE76" s="156"/>
      <c r="AF76" s="154"/>
    </row>
    <row r="77" s="10" customFormat="1" ht="14.15" customHeight="1" spans="1:32">
      <c r="A77" s="144"/>
      <c r="B77" s="144"/>
      <c r="C77" s="144"/>
      <c r="D77" s="144"/>
      <c r="E77" s="144"/>
      <c r="F77" s="145"/>
      <c r="G77" s="145"/>
      <c r="H77" s="146"/>
      <c r="I77" s="146"/>
      <c r="J77" s="144"/>
      <c r="K77" s="145"/>
      <c r="L77" s="144"/>
      <c r="M77" s="144"/>
      <c r="N77" s="144"/>
      <c r="O77" s="147" t="s">
        <v>216</v>
      </c>
      <c r="P77" s="144"/>
      <c r="Q77" s="144"/>
      <c r="R77" s="148"/>
      <c r="S77" s="149" t="s">
        <v>217</v>
      </c>
      <c r="T77" s="149"/>
      <c r="U77" s="144">
        <f t="shared" si="0"/>
        <v>0</v>
      </c>
      <c r="V77" s="150">
        <f t="shared" si="1"/>
        <v>0</v>
      </c>
      <c r="W77" s="146"/>
      <c r="X77" s="144"/>
      <c r="Y77" s="145"/>
      <c r="Z77" s="144"/>
      <c r="AA77" s="151"/>
      <c r="AB77" s="145"/>
      <c r="AC77" s="152"/>
      <c r="AD77" s="152"/>
      <c r="AE77" s="153"/>
      <c r="AF77" s="154"/>
    </row>
    <row r="78" s="10" customFormat="1" ht="14.15" customHeight="1" spans="1:32">
      <c r="A78" s="144"/>
      <c r="B78" s="144"/>
      <c r="C78" s="144"/>
      <c r="D78" s="144"/>
      <c r="E78" s="144"/>
      <c r="F78" s="145"/>
      <c r="G78" s="145"/>
      <c r="H78" s="146"/>
      <c r="I78" s="146"/>
      <c r="J78" s="144"/>
      <c r="K78" s="145"/>
      <c r="L78" s="144"/>
      <c r="M78" s="144"/>
      <c r="N78" s="144"/>
      <c r="O78" s="147" t="s">
        <v>218</v>
      </c>
      <c r="P78" s="144"/>
      <c r="Q78" s="144"/>
      <c r="R78" s="148"/>
      <c r="S78" s="149" t="s">
        <v>219</v>
      </c>
      <c r="T78" s="149"/>
      <c r="U78" s="144">
        <f t="shared" si="0"/>
        <v>0</v>
      </c>
      <c r="V78" s="150">
        <f t="shared" si="1"/>
        <v>0</v>
      </c>
      <c r="W78" s="146"/>
      <c r="X78" s="144"/>
      <c r="Y78" s="145"/>
      <c r="Z78" s="144"/>
      <c r="AA78" s="151"/>
      <c r="AB78" s="145"/>
      <c r="AC78" s="152"/>
      <c r="AD78" s="152"/>
      <c r="AE78" s="156"/>
      <c r="AF78" s="154"/>
    </row>
    <row r="79" s="10" customFormat="1" ht="14.15" customHeight="1" spans="1:32">
      <c r="A79" s="144" t="s">
        <v>220</v>
      </c>
      <c r="B79" s="144" t="s">
        <v>221</v>
      </c>
      <c r="C79" s="144" t="s">
        <v>194</v>
      </c>
      <c r="D79" s="144"/>
      <c r="E79" s="144"/>
      <c r="F79" s="145">
        <f>E79/2500</f>
        <v>0</v>
      </c>
      <c r="G79" s="145"/>
      <c r="H79" s="146" t="s">
        <v>195</v>
      </c>
      <c r="I79" s="157" t="s">
        <v>222</v>
      </c>
      <c r="J79" s="144"/>
      <c r="K79" s="145">
        <f>J79/300</f>
        <v>0</v>
      </c>
      <c r="L79" s="144" t="s">
        <v>194</v>
      </c>
      <c r="M79" s="144"/>
      <c r="N79" s="144"/>
      <c r="O79" s="147" t="s">
        <v>223</v>
      </c>
      <c r="P79" s="144"/>
      <c r="Q79" s="144"/>
      <c r="R79" s="148"/>
      <c r="S79" s="149" t="s">
        <v>224</v>
      </c>
      <c r="T79" s="149"/>
      <c r="U79" s="144">
        <f t="shared" si="0"/>
        <v>0</v>
      </c>
      <c r="V79" s="150">
        <f t="shared" si="1"/>
        <v>0</v>
      </c>
      <c r="W79" s="146">
        <v>201</v>
      </c>
      <c r="X79" s="144">
        <f>SUM(U79:U88)</f>
        <v>0</v>
      </c>
      <c r="Y79" s="145">
        <f>X79/2150</f>
        <v>0</v>
      </c>
      <c r="Z79" s="144">
        <v>170</v>
      </c>
      <c r="AA79" s="151">
        <v>170</v>
      </c>
      <c r="AB79" s="145">
        <f>77/Z79</f>
        <v>0.452941176470588</v>
      </c>
      <c r="AC79" s="144" t="s">
        <v>225</v>
      </c>
      <c r="AD79" s="152">
        <f>20-AC79</f>
        <v>20</v>
      </c>
      <c r="AE79" s="153" t="s">
        <v>199</v>
      </c>
      <c r="AF79" s="154"/>
    </row>
    <row r="80" s="10" customFormat="1" ht="14.15" customHeight="1" spans="1:32">
      <c r="A80" s="144"/>
      <c r="B80" s="144"/>
      <c r="C80" s="144"/>
      <c r="D80" s="144"/>
      <c r="E80" s="144"/>
      <c r="F80" s="145"/>
      <c r="G80" s="145"/>
      <c r="H80" s="146"/>
      <c r="I80" s="157"/>
      <c r="J80" s="144"/>
      <c r="K80" s="145"/>
      <c r="L80" s="144"/>
      <c r="M80" s="144"/>
      <c r="N80" s="144"/>
      <c r="O80" s="147" t="s">
        <v>226</v>
      </c>
      <c r="P80" s="144"/>
      <c r="Q80" s="144"/>
      <c r="R80" s="148"/>
      <c r="S80" s="149" t="s">
        <v>227</v>
      </c>
      <c r="T80" s="149"/>
      <c r="U80" s="144">
        <f t="shared" si="0"/>
        <v>0</v>
      </c>
      <c r="V80" s="150">
        <f t="shared" si="1"/>
        <v>0</v>
      </c>
      <c r="W80" s="146"/>
      <c r="X80" s="144"/>
      <c r="Y80" s="145"/>
      <c r="Z80" s="144"/>
      <c r="AA80" s="151"/>
      <c r="AB80" s="145"/>
      <c r="AC80" s="144"/>
      <c r="AD80" s="152"/>
      <c r="AE80" s="155"/>
      <c r="AF80" s="154"/>
    </row>
    <row r="81" s="10" customFormat="1" ht="14.15" customHeight="1" spans="1:32">
      <c r="A81" s="144"/>
      <c r="B81" s="144"/>
      <c r="C81" s="144"/>
      <c r="D81" s="144"/>
      <c r="E81" s="144"/>
      <c r="F81" s="145"/>
      <c r="G81" s="145"/>
      <c r="H81" s="146"/>
      <c r="I81" s="157"/>
      <c r="J81" s="144"/>
      <c r="K81" s="145"/>
      <c r="L81" s="144"/>
      <c r="M81" s="144"/>
      <c r="N81" s="144"/>
      <c r="O81" s="147" t="s">
        <v>228</v>
      </c>
      <c r="P81" s="144"/>
      <c r="Q81" s="144"/>
      <c r="R81" s="148"/>
      <c r="S81" s="149" t="s">
        <v>229</v>
      </c>
      <c r="T81" s="149"/>
      <c r="U81" s="144">
        <f t="shared" si="0"/>
        <v>0</v>
      </c>
      <c r="V81" s="150">
        <f t="shared" si="1"/>
        <v>0</v>
      </c>
      <c r="W81" s="146"/>
      <c r="X81" s="144"/>
      <c r="Y81" s="145"/>
      <c r="Z81" s="144"/>
      <c r="AA81" s="151"/>
      <c r="AB81" s="145"/>
      <c r="AC81" s="144"/>
      <c r="AD81" s="152"/>
      <c r="AE81" s="156"/>
      <c r="AF81" s="154"/>
    </row>
    <row r="82" s="10" customFormat="1" ht="14.15" customHeight="1" spans="1:32">
      <c r="A82" s="144"/>
      <c r="B82" s="144"/>
      <c r="C82" s="144"/>
      <c r="D82" s="144"/>
      <c r="E82" s="144"/>
      <c r="F82" s="145"/>
      <c r="G82" s="145"/>
      <c r="H82" s="146"/>
      <c r="I82" s="157"/>
      <c r="J82" s="144"/>
      <c r="K82" s="145"/>
      <c r="L82" s="144"/>
      <c r="M82" s="144"/>
      <c r="N82" s="144"/>
      <c r="O82" s="147" t="s">
        <v>230</v>
      </c>
      <c r="P82" s="144"/>
      <c r="Q82" s="144"/>
      <c r="R82" s="148"/>
      <c r="S82" s="149" t="s">
        <v>231</v>
      </c>
      <c r="T82" s="149"/>
      <c r="U82" s="144">
        <f t="shared" si="0"/>
        <v>0</v>
      </c>
      <c r="V82" s="150">
        <f t="shared" si="1"/>
        <v>0</v>
      </c>
      <c r="W82" s="146"/>
      <c r="X82" s="144"/>
      <c r="Y82" s="145"/>
      <c r="Z82" s="144"/>
      <c r="AA82" s="151"/>
      <c r="AB82" s="145"/>
      <c r="AC82" s="144"/>
      <c r="AD82" s="152"/>
      <c r="AE82" s="153"/>
      <c r="AF82" s="154"/>
    </row>
    <row r="83" s="10" customFormat="1" ht="14.15" customHeight="1" spans="1:32">
      <c r="A83" s="144"/>
      <c r="B83" s="144"/>
      <c r="C83" s="144"/>
      <c r="D83" s="144"/>
      <c r="E83" s="144"/>
      <c r="F83" s="145"/>
      <c r="G83" s="145"/>
      <c r="H83" s="146"/>
      <c r="I83" s="157"/>
      <c r="J83" s="144"/>
      <c r="K83" s="145"/>
      <c r="L83" s="144"/>
      <c r="M83" s="144"/>
      <c r="N83" s="144"/>
      <c r="O83" s="147" t="s">
        <v>232</v>
      </c>
      <c r="P83" s="144"/>
      <c r="Q83" s="144"/>
      <c r="R83" s="148"/>
      <c r="S83" s="149" t="s">
        <v>233</v>
      </c>
      <c r="T83" s="149"/>
      <c r="U83" s="144">
        <f t="shared" si="0"/>
        <v>0</v>
      </c>
      <c r="V83" s="150">
        <f t="shared" si="1"/>
        <v>0</v>
      </c>
      <c r="W83" s="146"/>
      <c r="X83" s="144"/>
      <c r="Y83" s="145"/>
      <c r="Z83" s="144"/>
      <c r="AA83" s="151"/>
      <c r="AB83" s="145"/>
      <c r="AC83" s="144"/>
      <c r="AD83" s="152"/>
      <c r="AE83" s="156"/>
      <c r="AF83" s="154"/>
    </row>
    <row r="84" s="10" customFormat="1" ht="14.15" customHeight="1" spans="1:32">
      <c r="A84" s="144"/>
      <c r="B84" s="144" t="s">
        <v>234</v>
      </c>
      <c r="C84" s="144" t="s">
        <v>194</v>
      </c>
      <c r="D84" s="144"/>
      <c r="E84" s="144"/>
      <c r="F84" s="145">
        <f>E84/2500</f>
        <v>0</v>
      </c>
      <c r="G84" s="145"/>
      <c r="H84" s="146" t="s">
        <v>195</v>
      </c>
      <c r="I84" s="157"/>
      <c r="J84" s="144"/>
      <c r="K84" s="145"/>
      <c r="L84" s="144"/>
      <c r="M84" s="144"/>
      <c r="N84" s="144"/>
      <c r="O84" s="147" t="s">
        <v>235</v>
      </c>
      <c r="P84" s="144"/>
      <c r="Q84" s="144"/>
      <c r="R84" s="148"/>
      <c r="S84" s="149" t="s">
        <v>236</v>
      </c>
      <c r="T84" s="149"/>
      <c r="U84" s="144">
        <f t="shared" si="0"/>
        <v>0</v>
      </c>
      <c r="V84" s="150">
        <f t="shared" si="1"/>
        <v>0</v>
      </c>
      <c r="W84" s="146"/>
      <c r="X84" s="144"/>
      <c r="Y84" s="145"/>
      <c r="Z84" s="144"/>
      <c r="AA84" s="151"/>
      <c r="AB84" s="145"/>
      <c r="AC84" s="144"/>
      <c r="AD84" s="152"/>
      <c r="AE84" s="153" t="s">
        <v>211</v>
      </c>
      <c r="AF84" s="154"/>
    </row>
    <row r="85" s="10" customFormat="1" ht="14.15" customHeight="1" spans="1:32">
      <c r="A85" s="144"/>
      <c r="B85" s="144"/>
      <c r="C85" s="144"/>
      <c r="D85" s="144"/>
      <c r="E85" s="144"/>
      <c r="F85" s="145"/>
      <c r="G85" s="145"/>
      <c r="H85" s="146"/>
      <c r="I85" s="157"/>
      <c r="J85" s="144"/>
      <c r="K85" s="145"/>
      <c r="L85" s="144"/>
      <c r="M85" s="144"/>
      <c r="N85" s="144"/>
      <c r="O85" s="147" t="s">
        <v>237</v>
      </c>
      <c r="P85" s="144"/>
      <c r="Q85" s="144"/>
      <c r="R85" s="148"/>
      <c r="S85" s="149" t="s">
        <v>238</v>
      </c>
      <c r="T85" s="149"/>
      <c r="U85" s="144">
        <f t="shared" si="0"/>
        <v>0</v>
      </c>
      <c r="V85" s="150">
        <f t="shared" si="1"/>
        <v>0</v>
      </c>
      <c r="W85" s="146"/>
      <c r="X85" s="144"/>
      <c r="Y85" s="145"/>
      <c r="Z85" s="144"/>
      <c r="AA85" s="151"/>
      <c r="AB85" s="145"/>
      <c r="AC85" s="144"/>
      <c r="AD85" s="152"/>
      <c r="AE85" s="155"/>
      <c r="AF85" s="154"/>
    </row>
    <row r="86" s="10" customFormat="1" ht="14.15" customHeight="1" spans="1:32">
      <c r="A86" s="144"/>
      <c r="B86" s="144"/>
      <c r="C86" s="144"/>
      <c r="D86" s="144"/>
      <c r="E86" s="144"/>
      <c r="F86" s="145"/>
      <c r="G86" s="145"/>
      <c r="H86" s="146"/>
      <c r="I86" s="157"/>
      <c r="J86" s="144"/>
      <c r="K86" s="145"/>
      <c r="L86" s="144"/>
      <c r="M86" s="144"/>
      <c r="N86" s="144"/>
      <c r="O86" s="147" t="s">
        <v>239</v>
      </c>
      <c r="P86" s="144"/>
      <c r="Q86" s="144"/>
      <c r="R86" s="148"/>
      <c r="S86" s="149" t="s">
        <v>240</v>
      </c>
      <c r="T86" s="149"/>
      <c r="U86" s="144">
        <f t="shared" si="0"/>
        <v>0</v>
      </c>
      <c r="V86" s="150">
        <f t="shared" si="1"/>
        <v>0</v>
      </c>
      <c r="W86" s="146"/>
      <c r="X86" s="144"/>
      <c r="Y86" s="145"/>
      <c r="Z86" s="144"/>
      <c r="AA86" s="151"/>
      <c r="AB86" s="145"/>
      <c r="AC86" s="144"/>
      <c r="AD86" s="152"/>
      <c r="AE86" s="156"/>
      <c r="AF86" s="154"/>
    </row>
    <row r="87" s="10" customFormat="1" ht="14.15" customHeight="1" spans="1:32">
      <c r="A87" s="144"/>
      <c r="B87" s="144"/>
      <c r="C87" s="144"/>
      <c r="D87" s="144"/>
      <c r="E87" s="144"/>
      <c r="F87" s="145"/>
      <c r="G87" s="145"/>
      <c r="H87" s="146"/>
      <c r="I87" s="157"/>
      <c r="J87" s="144"/>
      <c r="K87" s="145"/>
      <c r="L87" s="144"/>
      <c r="M87" s="144"/>
      <c r="N87" s="144"/>
      <c r="O87" s="147" t="s">
        <v>241</v>
      </c>
      <c r="P87" s="144"/>
      <c r="Q87" s="144"/>
      <c r="R87" s="148"/>
      <c r="S87" s="149" t="s">
        <v>242</v>
      </c>
      <c r="T87" s="149"/>
      <c r="U87" s="144">
        <f t="shared" si="0"/>
        <v>0</v>
      </c>
      <c r="V87" s="150">
        <f t="shared" si="1"/>
        <v>0</v>
      </c>
      <c r="W87" s="146"/>
      <c r="X87" s="144"/>
      <c r="Y87" s="145"/>
      <c r="Z87" s="144"/>
      <c r="AA87" s="151"/>
      <c r="AB87" s="145"/>
      <c r="AC87" s="144"/>
      <c r="AD87" s="152"/>
      <c r="AE87" s="153"/>
      <c r="AF87" s="154"/>
    </row>
    <row r="88" s="10" customFormat="1" ht="14.15" customHeight="1" spans="1:32">
      <c r="A88" s="144"/>
      <c r="B88" s="144"/>
      <c r="C88" s="144"/>
      <c r="D88" s="144"/>
      <c r="E88" s="144"/>
      <c r="F88" s="145"/>
      <c r="G88" s="145"/>
      <c r="H88" s="146"/>
      <c r="I88" s="157"/>
      <c r="J88" s="144"/>
      <c r="K88" s="145"/>
      <c r="L88" s="144"/>
      <c r="M88" s="144"/>
      <c r="N88" s="144"/>
      <c r="O88" s="147" t="s">
        <v>243</v>
      </c>
      <c r="P88" s="144"/>
      <c r="Q88" s="144"/>
      <c r="R88" s="148"/>
      <c r="S88" s="149" t="s">
        <v>244</v>
      </c>
      <c r="T88" s="149"/>
      <c r="U88" s="144">
        <f t="shared" si="0"/>
        <v>0</v>
      </c>
      <c r="V88" s="150">
        <f t="shared" si="1"/>
        <v>0</v>
      </c>
      <c r="W88" s="146"/>
      <c r="X88" s="144"/>
      <c r="Y88" s="145"/>
      <c r="Z88" s="144"/>
      <c r="AA88" s="151"/>
      <c r="AB88" s="145"/>
      <c r="AC88" s="144"/>
      <c r="AD88" s="152"/>
      <c r="AE88" s="156"/>
      <c r="AF88" s="154"/>
    </row>
    <row r="89" s="10" customFormat="1" ht="14.15" customHeight="1" spans="1:32">
      <c r="A89" s="144" t="s">
        <v>245</v>
      </c>
      <c r="B89" s="144" t="s">
        <v>246</v>
      </c>
      <c r="C89" s="144" t="s">
        <v>194</v>
      </c>
      <c r="D89" s="144"/>
      <c r="E89" s="144"/>
      <c r="F89" s="145">
        <f>E89/2500</f>
        <v>0</v>
      </c>
      <c r="G89" s="145"/>
      <c r="H89" s="146" t="s">
        <v>195</v>
      </c>
      <c r="I89" s="146" t="s">
        <v>247</v>
      </c>
      <c r="J89" s="144"/>
      <c r="K89" s="145">
        <f>J89/300</f>
        <v>0</v>
      </c>
      <c r="L89" s="144" t="s">
        <v>194</v>
      </c>
      <c r="M89" s="144"/>
      <c r="N89" s="144"/>
      <c r="O89" s="158" t="s">
        <v>248</v>
      </c>
      <c r="P89" s="144"/>
      <c r="Q89" s="144"/>
      <c r="R89" s="148"/>
      <c r="S89" s="149" t="s">
        <v>249</v>
      </c>
      <c r="T89" s="149"/>
      <c r="U89" s="144">
        <f t="shared" si="0"/>
        <v>0</v>
      </c>
      <c r="V89" s="150">
        <f t="shared" si="1"/>
        <v>0</v>
      </c>
      <c r="W89" s="146">
        <v>302</v>
      </c>
      <c r="X89" s="144">
        <f>SUM(U89:U102)</f>
        <v>0</v>
      </c>
      <c r="Y89" s="145">
        <f>X89/2150</f>
        <v>0</v>
      </c>
      <c r="Z89" s="144">
        <v>154</v>
      </c>
      <c r="AA89" s="151">
        <v>140</v>
      </c>
      <c r="AB89" s="145">
        <f>87/Z89</f>
        <v>0.564935064935065</v>
      </c>
      <c r="AC89" s="144" t="s">
        <v>225</v>
      </c>
      <c r="AD89" s="152">
        <f>20-AC89</f>
        <v>20</v>
      </c>
      <c r="AE89" s="153" t="s">
        <v>199</v>
      </c>
      <c r="AF89" s="154"/>
    </row>
    <row r="90" s="10" customFormat="1" ht="14.15" customHeight="1" spans="1:32">
      <c r="A90" s="144"/>
      <c r="B90" s="144"/>
      <c r="C90" s="144"/>
      <c r="D90" s="144"/>
      <c r="E90" s="144"/>
      <c r="F90" s="145"/>
      <c r="G90" s="145"/>
      <c r="H90" s="146"/>
      <c r="I90" s="146"/>
      <c r="J90" s="144"/>
      <c r="K90" s="145"/>
      <c r="L90" s="144"/>
      <c r="M90" s="144"/>
      <c r="N90" s="144"/>
      <c r="O90" s="158" t="s">
        <v>250</v>
      </c>
      <c r="P90" s="144"/>
      <c r="Q90" s="144"/>
      <c r="R90" s="148"/>
      <c r="S90" s="149" t="s">
        <v>251</v>
      </c>
      <c r="T90" s="149"/>
      <c r="U90" s="144">
        <f t="shared" si="0"/>
        <v>0</v>
      </c>
      <c r="V90" s="150">
        <f t="shared" si="1"/>
        <v>0</v>
      </c>
      <c r="W90" s="146"/>
      <c r="X90" s="144"/>
      <c r="Y90" s="145"/>
      <c r="Z90" s="144"/>
      <c r="AA90" s="151"/>
      <c r="AB90" s="145"/>
      <c r="AC90" s="144"/>
      <c r="AD90" s="152"/>
      <c r="AE90" s="155"/>
      <c r="AF90" s="154"/>
    </row>
    <row r="91" s="10" customFormat="1" ht="14.15" customHeight="1" spans="1:32">
      <c r="A91" s="144"/>
      <c r="B91" s="144"/>
      <c r="C91" s="144"/>
      <c r="D91" s="144"/>
      <c r="E91" s="144"/>
      <c r="F91" s="145"/>
      <c r="G91" s="145"/>
      <c r="H91" s="146"/>
      <c r="I91" s="146"/>
      <c r="J91" s="144"/>
      <c r="K91" s="145"/>
      <c r="L91" s="144"/>
      <c r="M91" s="144"/>
      <c r="N91" s="144"/>
      <c r="O91" s="158" t="s">
        <v>252</v>
      </c>
      <c r="P91" s="144"/>
      <c r="Q91" s="144"/>
      <c r="R91" s="148"/>
      <c r="S91" s="149" t="s">
        <v>253</v>
      </c>
      <c r="T91" s="149"/>
      <c r="U91" s="144">
        <f t="shared" si="0"/>
        <v>0</v>
      </c>
      <c r="V91" s="150">
        <f t="shared" si="1"/>
        <v>0</v>
      </c>
      <c r="W91" s="146"/>
      <c r="X91" s="144"/>
      <c r="Y91" s="145"/>
      <c r="Z91" s="144"/>
      <c r="AA91" s="151"/>
      <c r="AB91" s="145"/>
      <c r="AC91" s="144"/>
      <c r="AD91" s="152"/>
      <c r="AE91" s="155"/>
      <c r="AF91" s="154"/>
    </row>
    <row r="92" s="10" customFormat="1" ht="14.15" customHeight="1" spans="1:32">
      <c r="A92" s="144"/>
      <c r="B92" s="144"/>
      <c r="C92" s="144"/>
      <c r="D92" s="144"/>
      <c r="E92" s="144"/>
      <c r="F92" s="145"/>
      <c r="G92" s="145"/>
      <c r="H92" s="146"/>
      <c r="I92" s="146"/>
      <c r="J92" s="144"/>
      <c r="K92" s="145"/>
      <c r="L92" s="144"/>
      <c r="M92" s="144"/>
      <c r="N92" s="144"/>
      <c r="O92" s="158" t="s">
        <v>254</v>
      </c>
      <c r="P92" s="144"/>
      <c r="Q92" s="144"/>
      <c r="R92" s="148"/>
      <c r="S92" s="149" t="s">
        <v>255</v>
      </c>
      <c r="T92" s="149"/>
      <c r="U92" s="144">
        <f t="shared" si="0"/>
        <v>0</v>
      </c>
      <c r="V92" s="150">
        <f t="shared" si="1"/>
        <v>0</v>
      </c>
      <c r="W92" s="146"/>
      <c r="X92" s="144"/>
      <c r="Y92" s="145"/>
      <c r="Z92" s="144"/>
      <c r="AA92" s="151"/>
      <c r="AB92" s="145"/>
      <c r="AC92" s="144"/>
      <c r="AD92" s="152"/>
      <c r="AE92" s="156"/>
      <c r="AF92" s="154"/>
    </row>
    <row r="93" s="10" customFormat="1" ht="14.15" customHeight="1" spans="1:32">
      <c r="A93" s="144"/>
      <c r="B93" s="144"/>
      <c r="C93" s="144"/>
      <c r="D93" s="144"/>
      <c r="E93" s="144"/>
      <c r="F93" s="145"/>
      <c r="G93" s="145"/>
      <c r="H93" s="146"/>
      <c r="I93" s="146"/>
      <c r="J93" s="144"/>
      <c r="K93" s="145"/>
      <c r="L93" s="144"/>
      <c r="M93" s="144"/>
      <c r="N93" s="144"/>
      <c r="O93" s="158" t="s">
        <v>256</v>
      </c>
      <c r="P93" s="144"/>
      <c r="Q93" s="144"/>
      <c r="R93" s="148"/>
      <c r="S93" s="149" t="s">
        <v>257</v>
      </c>
      <c r="T93" s="149"/>
      <c r="U93" s="144">
        <f t="shared" si="0"/>
        <v>0</v>
      </c>
      <c r="V93" s="150">
        <f t="shared" si="1"/>
        <v>0</v>
      </c>
      <c r="W93" s="146"/>
      <c r="X93" s="144"/>
      <c r="Y93" s="145"/>
      <c r="Z93" s="144"/>
      <c r="AA93" s="151"/>
      <c r="AB93" s="145"/>
      <c r="AC93" s="144"/>
      <c r="AD93" s="152"/>
      <c r="AE93" s="153"/>
      <c r="AF93" s="154"/>
    </row>
    <row r="94" s="10" customFormat="1" ht="14.15" customHeight="1" spans="1:32">
      <c r="A94" s="144"/>
      <c r="B94" s="144"/>
      <c r="C94" s="144"/>
      <c r="D94" s="144"/>
      <c r="E94" s="144"/>
      <c r="F94" s="145"/>
      <c r="G94" s="145"/>
      <c r="H94" s="146"/>
      <c r="I94" s="146"/>
      <c r="J94" s="144"/>
      <c r="K94" s="145"/>
      <c r="L94" s="144"/>
      <c r="M94" s="144"/>
      <c r="N94" s="144"/>
      <c r="O94" s="158" t="s">
        <v>258</v>
      </c>
      <c r="P94" s="144"/>
      <c r="Q94" s="144"/>
      <c r="R94" s="148"/>
      <c r="S94" s="149" t="s">
        <v>259</v>
      </c>
      <c r="T94" s="149"/>
      <c r="U94" s="144">
        <f t="shared" si="0"/>
        <v>0</v>
      </c>
      <c r="V94" s="150">
        <f t="shared" si="1"/>
        <v>0</v>
      </c>
      <c r="W94" s="146"/>
      <c r="X94" s="144"/>
      <c r="Y94" s="145"/>
      <c r="Z94" s="144"/>
      <c r="AA94" s="151"/>
      <c r="AB94" s="145"/>
      <c r="AC94" s="144"/>
      <c r="AD94" s="152"/>
      <c r="AE94" s="155"/>
      <c r="AF94" s="154"/>
    </row>
    <row r="95" s="10" customFormat="1" ht="14.15" customHeight="1" spans="1:32">
      <c r="A95" s="144"/>
      <c r="B95" s="144"/>
      <c r="C95" s="144"/>
      <c r="D95" s="144"/>
      <c r="E95" s="144"/>
      <c r="F95" s="145"/>
      <c r="G95" s="145"/>
      <c r="H95" s="146"/>
      <c r="I95" s="146"/>
      <c r="J95" s="144"/>
      <c r="K95" s="145"/>
      <c r="L95" s="144"/>
      <c r="M95" s="144"/>
      <c r="N95" s="144"/>
      <c r="O95" s="158" t="s">
        <v>260</v>
      </c>
      <c r="P95" s="144"/>
      <c r="Q95" s="144"/>
      <c r="R95" s="148"/>
      <c r="S95" s="149" t="s">
        <v>261</v>
      </c>
      <c r="T95" s="149"/>
      <c r="U95" s="144">
        <f t="shared" si="0"/>
        <v>0</v>
      </c>
      <c r="V95" s="150">
        <f t="shared" si="1"/>
        <v>0</v>
      </c>
      <c r="W95" s="146"/>
      <c r="X95" s="144"/>
      <c r="Y95" s="145"/>
      <c r="Z95" s="144"/>
      <c r="AA95" s="151"/>
      <c r="AB95" s="145"/>
      <c r="AC95" s="144"/>
      <c r="AD95" s="152"/>
      <c r="AE95" s="156"/>
      <c r="AF95" s="154"/>
    </row>
    <row r="96" s="10" customFormat="1" ht="14.15" customHeight="1" spans="1:32">
      <c r="A96" s="144"/>
      <c r="B96" s="144" t="s">
        <v>262</v>
      </c>
      <c r="C96" s="144" t="s">
        <v>194</v>
      </c>
      <c r="D96" s="144"/>
      <c r="E96" s="144"/>
      <c r="F96" s="145">
        <f>E96/2500</f>
        <v>0</v>
      </c>
      <c r="G96" s="145"/>
      <c r="H96" s="146" t="s">
        <v>195</v>
      </c>
      <c r="I96" s="146"/>
      <c r="J96" s="144"/>
      <c r="K96" s="145"/>
      <c r="L96" s="144"/>
      <c r="M96" s="144"/>
      <c r="N96" s="144"/>
      <c r="O96" s="158" t="s">
        <v>263</v>
      </c>
      <c r="P96" s="144"/>
      <c r="Q96" s="144"/>
      <c r="R96" s="148"/>
      <c r="S96" s="149" t="s">
        <v>264</v>
      </c>
      <c r="T96" s="149"/>
      <c r="U96" s="144">
        <f t="shared" si="0"/>
        <v>0</v>
      </c>
      <c r="V96" s="150">
        <f t="shared" si="1"/>
        <v>0</v>
      </c>
      <c r="W96" s="146"/>
      <c r="X96" s="144"/>
      <c r="Y96" s="145"/>
      <c r="Z96" s="144"/>
      <c r="AA96" s="151"/>
      <c r="AB96" s="145"/>
      <c r="AC96" s="144"/>
      <c r="AD96" s="152"/>
      <c r="AE96" s="153" t="s">
        <v>211</v>
      </c>
      <c r="AF96" s="154"/>
    </row>
    <row r="97" s="10" customFormat="1" ht="14.15" customHeight="1" spans="1:32">
      <c r="A97" s="144"/>
      <c r="B97" s="144"/>
      <c r="C97" s="144"/>
      <c r="D97" s="144"/>
      <c r="E97" s="144"/>
      <c r="F97" s="145"/>
      <c r="G97" s="145"/>
      <c r="H97" s="146"/>
      <c r="I97" s="146"/>
      <c r="J97" s="144"/>
      <c r="K97" s="145"/>
      <c r="L97" s="144"/>
      <c r="M97" s="144"/>
      <c r="N97" s="144"/>
      <c r="O97" s="158" t="s">
        <v>265</v>
      </c>
      <c r="P97" s="144"/>
      <c r="Q97" s="144"/>
      <c r="R97" s="148"/>
      <c r="S97" s="149" t="s">
        <v>266</v>
      </c>
      <c r="T97" s="149"/>
      <c r="U97" s="144">
        <f t="shared" si="0"/>
        <v>0</v>
      </c>
      <c r="V97" s="150">
        <f t="shared" si="1"/>
        <v>0</v>
      </c>
      <c r="W97" s="146"/>
      <c r="X97" s="144"/>
      <c r="Y97" s="145"/>
      <c r="Z97" s="144"/>
      <c r="AA97" s="151"/>
      <c r="AB97" s="145"/>
      <c r="AC97" s="144"/>
      <c r="AD97" s="152"/>
      <c r="AE97" s="155"/>
      <c r="AF97" s="154"/>
    </row>
    <row r="98" s="10" customFormat="1" ht="14.15" customHeight="1" spans="1:32">
      <c r="A98" s="144"/>
      <c r="B98" s="144"/>
      <c r="C98" s="144"/>
      <c r="D98" s="144"/>
      <c r="E98" s="144"/>
      <c r="F98" s="145"/>
      <c r="G98" s="145"/>
      <c r="H98" s="146"/>
      <c r="I98" s="146"/>
      <c r="J98" s="144"/>
      <c r="K98" s="145"/>
      <c r="L98" s="144"/>
      <c r="M98" s="144"/>
      <c r="N98" s="144"/>
      <c r="O98" s="158" t="s">
        <v>267</v>
      </c>
      <c r="P98" s="144"/>
      <c r="Q98" s="144"/>
      <c r="R98" s="148"/>
      <c r="S98" s="149" t="s">
        <v>268</v>
      </c>
      <c r="T98" s="149"/>
      <c r="U98" s="144">
        <f t="shared" si="0"/>
        <v>0</v>
      </c>
      <c r="V98" s="150">
        <f t="shared" si="1"/>
        <v>0</v>
      </c>
      <c r="W98" s="146"/>
      <c r="X98" s="144"/>
      <c r="Y98" s="145"/>
      <c r="Z98" s="144"/>
      <c r="AA98" s="151"/>
      <c r="AB98" s="145"/>
      <c r="AC98" s="144"/>
      <c r="AD98" s="152"/>
      <c r="AE98" s="155"/>
      <c r="AF98" s="154"/>
    </row>
    <row r="99" s="10" customFormat="1" ht="14.15" customHeight="1" spans="1:32">
      <c r="A99" s="144"/>
      <c r="B99" s="144"/>
      <c r="C99" s="144"/>
      <c r="D99" s="144"/>
      <c r="E99" s="144"/>
      <c r="F99" s="145"/>
      <c r="G99" s="145"/>
      <c r="H99" s="146"/>
      <c r="I99" s="146"/>
      <c r="J99" s="144"/>
      <c r="K99" s="145"/>
      <c r="L99" s="144"/>
      <c r="M99" s="144"/>
      <c r="N99" s="144"/>
      <c r="O99" s="158" t="s">
        <v>269</v>
      </c>
      <c r="P99" s="144"/>
      <c r="Q99" s="144"/>
      <c r="R99" s="148"/>
      <c r="S99" s="149" t="s">
        <v>270</v>
      </c>
      <c r="T99" s="149"/>
      <c r="U99" s="144">
        <f t="shared" si="0"/>
        <v>0</v>
      </c>
      <c r="V99" s="150">
        <f t="shared" si="1"/>
        <v>0</v>
      </c>
      <c r="W99" s="146"/>
      <c r="X99" s="144"/>
      <c r="Y99" s="145"/>
      <c r="Z99" s="144"/>
      <c r="AA99" s="151"/>
      <c r="AB99" s="145"/>
      <c r="AC99" s="144"/>
      <c r="AD99" s="152"/>
      <c r="AE99" s="156"/>
      <c r="AF99" s="154"/>
    </row>
    <row r="100" s="10" customFormat="1" ht="14.15" customHeight="1" spans="1:32">
      <c r="A100" s="144"/>
      <c r="B100" s="144"/>
      <c r="C100" s="144"/>
      <c r="D100" s="144"/>
      <c r="E100" s="144"/>
      <c r="F100" s="145"/>
      <c r="G100" s="145"/>
      <c r="H100" s="146"/>
      <c r="I100" s="146"/>
      <c r="J100" s="144"/>
      <c r="K100" s="145"/>
      <c r="L100" s="144"/>
      <c r="M100" s="144"/>
      <c r="N100" s="144"/>
      <c r="O100" s="158" t="s">
        <v>271</v>
      </c>
      <c r="P100" s="144"/>
      <c r="Q100" s="144"/>
      <c r="R100" s="148"/>
      <c r="S100" s="149" t="s">
        <v>272</v>
      </c>
      <c r="T100" s="149"/>
      <c r="U100" s="144">
        <f t="shared" si="0"/>
        <v>0</v>
      </c>
      <c r="V100" s="150">
        <f t="shared" si="1"/>
        <v>0</v>
      </c>
      <c r="W100" s="146"/>
      <c r="X100" s="144"/>
      <c r="Y100" s="145"/>
      <c r="Z100" s="144"/>
      <c r="AA100" s="151"/>
      <c r="AB100" s="145"/>
      <c r="AC100" s="144"/>
      <c r="AD100" s="152"/>
      <c r="AE100" s="153"/>
      <c r="AF100" s="154"/>
    </row>
    <row r="101" s="10" customFormat="1" ht="14.15" customHeight="1" spans="1:32">
      <c r="A101" s="144"/>
      <c r="B101" s="144"/>
      <c r="C101" s="144"/>
      <c r="D101" s="144"/>
      <c r="E101" s="144"/>
      <c r="F101" s="145"/>
      <c r="G101" s="145"/>
      <c r="H101" s="146"/>
      <c r="I101" s="146"/>
      <c r="J101" s="144"/>
      <c r="K101" s="145"/>
      <c r="L101" s="144"/>
      <c r="M101" s="144"/>
      <c r="N101" s="144"/>
      <c r="O101" s="158" t="s">
        <v>273</v>
      </c>
      <c r="P101" s="144"/>
      <c r="Q101" s="144"/>
      <c r="R101" s="148"/>
      <c r="S101" s="149" t="s">
        <v>274</v>
      </c>
      <c r="T101" s="149"/>
      <c r="U101" s="144">
        <f t="shared" si="0"/>
        <v>0</v>
      </c>
      <c r="V101" s="150">
        <f t="shared" si="1"/>
        <v>0</v>
      </c>
      <c r="W101" s="146"/>
      <c r="X101" s="144"/>
      <c r="Y101" s="145"/>
      <c r="Z101" s="144"/>
      <c r="AA101" s="151"/>
      <c r="AB101" s="145"/>
      <c r="AC101" s="144"/>
      <c r="AD101" s="152"/>
      <c r="AE101" s="155"/>
      <c r="AF101" s="154"/>
    </row>
    <row r="102" s="10" customFormat="1" ht="14.15" customHeight="1" spans="1:32">
      <c r="A102" s="144"/>
      <c r="B102" s="144"/>
      <c r="C102" s="144"/>
      <c r="D102" s="144"/>
      <c r="E102" s="144"/>
      <c r="F102" s="145"/>
      <c r="G102" s="145"/>
      <c r="H102" s="146"/>
      <c r="I102" s="146"/>
      <c r="J102" s="144"/>
      <c r="K102" s="145"/>
      <c r="L102" s="144"/>
      <c r="M102" s="144"/>
      <c r="N102" s="144"/>
      <c r="O102" s="158" t="s">
        <v>275</v>
      </c>
      <c r="P102" s="144"/>
      <c r="Q102" s="144"/>
      <c r="R102" s="148"/>
      <c r="S102" s="149" t="s">
        <v>276</v>
      </c>
      <c r="T102" s="149"/>
      <c r="U102" s="144">
        <f t="shared" si="0"/>
        <v>0</v>
      </c>
      <c r="V102" s="150">
        <f t="shared" si="1"/>
        <v>0</v>
      </c>
      <c r="W102" s="146"/>
      <c r="X102" s="144"/>
      <c r="Y102" s="145"/>
      <c r="Z102" s="144"/>
      <c r="AA102" s="151"/>
      <c r="AB102" s="145"/>
      <c r="AC102" s="144"/>
      <c r="AD102" s="152"/>
      <c r="AE102" s="156"/>
      <c r="AF102" s="154"/>
    </row>
    <row r="103" s="10" customFormat="1" ht="14.15" customHeight="1" spans="1:32">
      <c r="A103" s="144" t="s">
        <v>277</v>
      </c>
      <c r="B103" s="144" t="s">
        <v>278</v>
      </c>
      <c r="C103" s="144" t="s">
        <v>194</v>
      </c>
      <c r="D103" s="144"/>
      <c r="E103" s="144"/>
      <c r="F103" s="145">
        <f>E103/2500</f>
        <v>0</v>
      </c>
      <c r="G103" s="145"/>
      <c r="H103" s="146" t="s">
        <v>195</v>
      </c>
      <c r="I103" s="146" t="s">
        <v>279</v>
      </c>
      <c r="J103" s="144"/>
      <c r="K103" s="145">
        <f>J103/300</f>
        <v>0</v>
      </c>
      <c r="L103" s="144" t="s">
        <v>194</v>
      </c>
      <c r="M103" s="144"/>
      <c r="N103" s="144"/>
      <c r="O103" s="158" t="s">
        <v>280</v>
      </c>
      <c r="P103" s="144"/>
      <c r="Q103" s="144"/>
      <c r="R103" s="148"/>
      <c r="S103" s="149" t="s">
        <v>281</v>
      </c>
      <c r="T103" s="149"/>
      <c r="U103" s="144">
        <f t="shared" si="0"/>
        <v>0</v>
      </c>
      <c r="V103" s="150">
        <f t="shared" si="1"/>
        <v>0</v>
      </c>
      <c r="W103" s="146">
        <v>301</v>
      </c>
      <c r="X103" s="144">
        <f>SUM(U103:U116)</f>
        <v>0</v>
      </c>
      <c r="Y103" s="145">
        <f>X103/2150</f>
        <v>0</v>
      </c>
      <c r="Z103" s="144">
        <v>154</v>
      </c>
      <c r="AA103" s="151">
        <v>152</v>
      </c>
      <c r="AB103" s="145">
        <f>101/Z103</f>
        <v>0.655844155844156</v>
      </c>
      <c r="AC103" s="144" t="s">
        <v>225</v>
      </c>
      <c r="AD103" s="152">
        <f>20-AC103</f>
        <v>20</v>
      </c>
      <c r="AE103" s="153" t="s">
        <v>199</v>
      </c>
      <c r="AF103" s="154"/>
    </row>
    <row r="104" s="10" customFormat="1" ht="14.15" customHeight="1" spans="1:32">
      <c r="A104" s="144"/>
      <c r="B104" s="144"/>
      <c r="C104" s="144"/>
      <c r="D104" s="144"/>
      <c r="E104" s="144"/>
      <c r="F104" s="145"/>
      <c r="G104" s="145"/>
      <c r="H104" s="146"/>
      <c r="I104" s="146"/>
      <c r="J104" s="144"/>
      <c r="K104" s="145"/>
      <c r="L104" s="144"/>
      <c r="M104" s="144"/>
      <c r="N104" s="144"/>
      <c r="O104" s="147" t="s">
        <v>282</v>
      </c>
      <c r="P104" s="144"/>
      <c r="Q104" s="144"/>
      <c r="R104" s="148"/>
      <c r="S104" s="149" t="s">
        <v>283</v>
      </c>
      <c r="T104" s="149"/>
      <c r="U104" s="144">
        <f t="shared" si="0"/>
        <v>0</v>
      </c>
      <c r="V104" s="150">
        <f t="shared" si="1"/>
        <v>0</v>
      </c>
      <c r="W104" s="146"/>
      <c r="X104" s="144"/>
      <c r="Y104" s="145"/>
      <c r="Z104" s="144"/>
      <c r="AA104" s="151"/>
      <c r="AB104" s="145"/>
      <c r="AC104" s="144"/>
      <c r="AD104" s="152"/>
      <c r="AE104" s="155"/>
      <c r="AF104" s="154"/>
    </row>
    <row r="105" s="10" customFormat="1" ht="14.15" customHeight="1" spans="1:32">
      <c r="A105" s="144"/>
      <c r="B105" s="144"/>
      <c r="C105" s="144"/>
      <c r="D105" s="144"/>
      <c r="E105" s="144"/>
      <c r="F105" s="145"/>
      <c r="G105" s="145"/>
      <c r="H105" s="146"/>
      <c r="I105" s="146"/>
      <c r="J105" s="144"/>
      <c r="K105" s="145"/>
      <c r="L105" s="144"/>
      <c r="M105" s="144"/>
      <c r="N105" s="144"/>
      <c r="O105" s="158" t="s">
        <v>284</v>
      </c>
      <c r="P105" s="144"/>
      <c r="Q105" s="144"/>
      <c r="R105" s="148"/>
      <c r="S105" s="149" t="s">
        <v>285</v>
      </c>
      <c r="T105" s="149"/>
      <c r="U105" s="144">
        <f t="shared" si="0"/>
        <v>0</v>
      </c>
      <c r="V105" s="150">
        <f t="shared" si="1"/>
        <v>0</v>
      </c>
      <c r="W105" s="146"/>
      <c r="X105" s="144"/>
      <c r="Y105" s="145"/>
      <c r="Z105" s="144"/>
      <c r="AA105" s="151"/>
      <c r="AB105" s="145"/>
      <c r="AC105" s="144"/>
      <c r="AD105" s="152"/>
      <c r="AE105" s="155"/>
      <c r="AF105" s="154"/>
    </row>
    <row r="106" s="10" customFormat="1" ht="14.15" customHeight="1" spans="1:32">
      <c r="A106" s="144"/>
      <c r="B106" s="144"/>
      <c r="C106" s="144"/>
      <c r="D106" s="144"/>
      <c r="E106" s="144"/>
      <c r="F106" s="145"/>
      <c r="G106" s="145"/>
      <c r="H106" s="146"/>
      <c r="I106" s="146"/>
      <c r="J106" s="144"/>
      <c r="K106" s="145"/>
      <c r="L106" s="144"/>
      <c r="M106" s="144"/>
      <c r="N106" s="144"/>
      <c r="O106" s="147" t="s">
        <v>286</v>
      </c>
      <c r="P106" s="144"/>
      <c r="Q106" s="144"/>
      <c r="R106" s="148"/>
      <c r="S106" s="149" t="s">
        <v>287</v>
      </c>
      <c r="T106" s="149"/>
      <c r="U106" s="144">
        <f t="shared" si="0"/>
        <v>0</v>
      </c>
      <c r="V106" s="150">
        <f t="shared" si="1"/>
        <v>0</v>
      </c>
      <c r="W106" s="146"/>
      <c r="X106" s="144"/>
      <c r="Y106" s="145"/>
      <c r="Z106" s="144"/>
      <c r="AA106" s="151"/>
      <c r="AB106" s="145"/>
      <c r="AC106" s="144"/>
      <c r="AD106" s="152"/>
      <c r="AE106" s="156"/>
      <c r="AF106" s="154"/>
    </row>
    <row r="107" s="10" customFormat="1" ht="14.15" customHeight="1" spans="1:32">
      <c r="A107" s="144"/>
      <c r="B107" s="144"/>
      <c r="C107" s="144"/>
      <c r="D107" s="144"/>
      <c r="E107" s="144"/>
      <c r="F107" s="145"/>
      <c r="G107" s="145"/>
      <c r="H107" s="146"/>
      <c r="I107" s="146"/>
      <c r="J107" s="144"/>
      <c r="K107" s="145"/>
      <c r="L107" s="144"/>
      <c r="M107" s="144"/>
      <c r="N107" s="144"/>
      <c r="O107" s="158" t="s">
        <v>288</v>
      </c>
      <c r="P107" s="144"/>
      <c r="Q107" s="144"/>
      <c r="R107" s="148"/>
      <c r="S107" s="149" t="s">
        <v>289</v>
      </c>
      <c r="T107" s="149"/>
      <c r="U107" s="144">
        <f t="shared" si="0"/>
        <v>0</v>
      </c>
      <c r="V107" s="150">
        <f t="shared" si="1"/>
        <v>0</v>
      </c>
      <c r="W107" s="146"/>
      <c r="X107" s="144"/>
      <c r="Y107" s="145"/>
      <c r="Z107" s="144"/>
      <c r="AA107" s="151"/>
      <c r="AB107" s="145"/>
      <c r="AC107" s="144"/>
      <c r="AD107" s="152"/>
      <c r="AE107" s="153"/>
      <c r="AF107" s="154"/>
    </row>
    <row r="108" s="10" customFormat="1" ht="14.15" customHeight="1" spans="1:32">
      <c r="A108" s="144"/>
      <c r="B108" s="144"/>
      <c r="C108" s="144"/>
      <c r="D108" s="144"/>
      <c r="E108" s="144"/>
      <c r="F108" s="145"/>
      <c r="G108" s="145"/>
      <c r="H108" s="146"/>
      <c r="I108" s="146"/>
      <c r="J108" s="144"/>
      <c r="K108" s="145"/>
      <c r="L108" s="144"/>
      <c r="M108" s="144"/>
      <c r="N108" s="144"/>
      <c r="O108" s="147" t="s">
        <v>290</v>
      </c>
      <c r="P108" s="144"/>
      <c r="Q108" s="144"/>
      <c r="R108" s="148"/>
      <c r="S108" s="149" t="s">
        <v>291</v>
      </c>
      <c r="T108" s="149"/>
      <c r="U108" s="144">
        <f t="shared" si="0"/>
        <v>0</v>
      </c>
      <c r="V108" s="150">
        <f t="shared" si="1"/>
        <v>0</v>
      </c>
      <c r="W108" s="146"/>
      <c r="X108" s="144"/>
      <c r="Y108" s="145"/>
      <c r="Z108" s="144"/>
      <c r="AA108" s="151"/>
      <c r="AB108" s="145"/>
      <c r="AC108" s="144"/>
      <c r="AD108" s="152"/>
      <c r="AE108" s="155"/>
      <c r="AF108" s="154"/>
    </row>
    <row r="109" s="10" customFormat="1" ht="14.15" customHeight="1" spans="1:32">
      <c r="A109" s="144"/>
      <c r="B109" s="144"/>
      <c r="C109" s="144"/>
      <c r="D109" s="144"/>
      <c r="E109" s="144"/>
      <c r="F109" s="145"/>
      <c r="G109" s="145"/>
      <c r="H109" s="146"/>
      <c r="I109" s="146"/>
      <c r="J109" s="144"/>
      <c r="K109" s="145"/>
      <c r="L109" s="144"/>
      <c r="M109" s="144"/>
      <c r="N109" s="144"/>
      <c r="O109" s="158" t="s">
        <v>292</v>
      </c>
      <c r="P109" s="144"/>
      <c r="Q109" s="144"/>
      <c r="R109" s="148"/>
      <c r="S109" s="149" t="s">
        <v>293</v>
      </c>
      <c r="T109" s="149"/>
      <c r="U109" s="144">
        <f t="shared" si="0"/>
        <v>0</v>
      </c>
      <c r="V109" s="150">
        <f t="shared" si="1"/>
        <v>0</v>
      </c>
      <c r="W109" s="146"/>
      <c r="X109" s="144"/>
      <c r="Y109" s="145"/>
      <c r="Z109" s="144"/>
      <c r="AA109" s="151"/>
      <c r="AB109" s="145"/>
      <c r="AC109" s="144"/>
      <c r="AD109" s="152"/>
      <c r="AE109" s="156"/>
      <c r="AF109" s="154"/>
    </row>
    <row r="110" s="10" customFormat="1" ht="14.15" customHeight="1" spans="1:32">
      <c r="A110" s="144"/>
      <c r="B110" s="144" t="s">
        <v>294</v>
      </c>
      <c r="C110" s="144" t="s">
        <v>194</v>
      </c>
      <c r="D110" s="144"/>
      <c r="E110" s="144"/>
      <c r="F110" s="145">
        <f>E110/2500</f>
        <v>0</v>
      </c>
      <c r="G110" s="145"/>
      <c r="H110" s="146" t="s">
        <v>195</v>
      </c>
      <c r="I110" s="146"/>
      <c r="J110" s="144"/>
      <c r="K110" s="145"/>
      <c r="L110" s="144"/>
      <c r="M110" s="144"/>
      <c r="N110" s="144"/>
      <c r="O110" s="147" t="s">
        <v>295</v>
      </c>
      <c r="P110" s="144"/>
      <c r="Q110" s="144"/>
      <c r="R110" s="148"/>
      <c r="S110" s="149" t="s">
        <v>296</v>
      </c>
      <c r="T110" s="149"/>
      <c r="U110" s="144">
        <f t="shared" si="0"/>
        <v>0</v>
      </c>
      <c r="V110" s="150">
        <f t="shared" si="1"/>
        <v>0</v>
      </c>
      <c r="W110" s="146"/>
      <c r="X110" s="144"/>
      <c r="Y110" s="145"/>
      <c r="Z110" s="144"/>
      <c r="AA110" s="151"/>
      <c r="AB110" s="145"/>
      <c r="AC110" s="144"/>
      <c r="AD110" s="152"/>
      <c r="AE110" s="153" t="s">
        <v>211</v>
      </c>
      <c r="AF110" s="154"/>
    </row>
    <row r="111" s="10" customFormat="1" ht="14.15" customHeight="1" spans="1:32">
      <c r="A111" s="144"/>
      <c r="B111" s="144"/>
      <c r="C111" s="144"/>
      <c r="D111" s="144"/>
      <c r="E111" s="144"/>
      <c r="F111" s="145"/>
      <c r="G111" s="145"/>
      <c r="H111" s="146"/>
      <c r="I111" s="146"/>
      <c r="J111" s="144"/>
      <c r="K111" s="145"/>
      <c r="L111" s="144"/>
      <c r="M111" s="144"/>
      <c r="N111" s="144"/>
      <c r="O111" s="147" t="s">
        <v>297</v>
      </c>
      <c r="P111" s="144"/>
      <c r="Q111" s="144"/>
      <c r="R111" s="148"/>
      <c r="S111" s="149" t="s">
        <v>298</v>
      </c>
      <c r="T111" s="149"/>
      <c r="U111" s="144">
        <f t="shared" si="0"/>
        <v>0</v>
      </c>
      <c r="V111" s="150">
        <f t="shared" si="1"/>
        <v>0</v>
      </c>
      <c r="W111" s="146"/>
      <c r="X111" s="144"/>
      <c r="Y111" s="145"/>
      <c r="Z111" s="144"/>
      <c r="AA111" s="151"/>
      <c r="AB111" s="145"/>
      <c r="AC111" s="144"/>
      <c r="AD111" s="152"/>
      <c r="AE111" s="155"/>
      <c r="AF111" s="154"/>
    </row>
    <row r="112" s="10" customFormat="1" ht="14.15" customHeight="1" spans="1:32">
      <c r="A112" s="144"/>
      <c r="B112" s="144"/>
      <c r="C112" s="144"/>
      <c r="D112" s="144"/>
      <c r="E112" s="144"/>
      <c r="F112" s="145"/>
      <c r="G112" s="145"/>
      <c r="H112" s="146"/>
      <c r="I112" s="146"/>
      <c r="J112" s="144"/>
      <c r="K112" s="145"/>
      <c r="L112" s="144"/>
      <c r="M112" s="144"/>
      <c r="N112" s="144"/>
      <c r="O112" s="147" t="s">
        <v>299</v>
      </c>
      <c r="P112" s="144"/>
      <c r="Q112" s="144"/>
      <c r="R112" s="148"/>
      <c r="S112" s="149" t="s">
        <v>300</v>
      </c>
      <c r="T112" s="149"/>
      <c r="U112" s="144">
        <f t="shared" si="0"/>
        <v>0</v>
      </c>
      <c r="V112" s="150">
        <f t="shared" si="1"/>
        <v>0</v>
      </c>
      <c r="W112" s="146"/>
      <c r="X112" s="144"/>
      <c r="Y112" s="145"/>
      <c r="Z112" s="144"/>
      <c r="AA112" s="151"/>
      <c r="AB112" s="145"/>
      <c r="AC112" s="144"/>
      <c r="AD112" s="152"/>
      <c r="AE112" s="155"/>
      <c r="AF112" s="154"/>
    </row>
    <row r="113" s="10" customFormat="1" ht="14.15" customHeight="1" spans="1:32">
      <c r="A113" s="144"/>
      <c r="B113" s="144"/>
      <c r="C113" s="144"/>
      <c r="D113" s="144"/>
      <c r="E113" s="144"/>
      <c r="F113" s="145"/>
      <c r="G113" s="145"/>
      <c r="H113" s="146"/>
      <c r="I113" s="146"/>
      <c r="J113" s="144"/>
      <c r="K113" s="145"/>
      <c r="L113" s="144"/>
      <c r="M113" s="144"/>
      <c r="N113" s="144"/>
      <c r="O113" s="147" t="s">
        <v>301</v>
      </c>
      <c r="P113" s="144"/>
      <c r="Q113" s="144"/>
      <c r="R113" s="148"/>
      <c r="S113" s="149" t="s">
        <v>302</v>
      </c>
      <c r="T113" s="149"/>
      <c r="U113" s="144">
        <f t="shared" si="0"/>
        <v>0</v>
      </c>
      <c r="V113" s="150">
        <f t="shared" si="1"/>
        <v>0</v>
      </c>
      <c r="W113" s="146"/>
      <c r="X113" s="144"/>
      <c r="Y113" s="145"/>
      <c r="Z113" s="144"/>
      <c r="AA113" s="151"/>
      <c r="AB113" s="145"/>
      <c r="AC113" s="144"/>
      <c r="AD113" s="152"/>
      <c r="AE113" s="156"/>
      <c r="AF113" s="154"/>
    </row>
    <row r="114" s="10" customFormat="1" ht="14.15" customHeight="1" spans="1:32">
      <c r="A114" s="144"/>
      <c r="B114" s="144"/>
      <c r="C114" s="144"/>
      <c r="D114" s="144"/>
      <c r="E114" s="144"/>
      <c r="F114" s="145"/>
      <c r="G114" s="145"/>
      <c r="H114" s="146"/>
      <c r="I114" s="146"/>
      <c r="J114" s="144"/>
      <c r="K114" s="145"/>
      <c r="L114" s="144"/>
      <c r="M114" s="144"/>
      <c r="N114" s="144"/>
      <c r="O114" s="147" t="s">
        <v>303</v>
      </c>
      <c r="P114" s="144"/>
      <c r="Q114" s="144"/>
      <c r="R114" s="148"/>
      <c r="S114" s="149" t="s">
        <v>304</v>
      </c>
      <c r="T114" s="149"/>
      <c r="U114" s="144">
        <f t="shared" si="0"/>
        <v>0</v>
      </c>
      <c r="V114" s="150">
        <f t="shared" si="1"/>
        <v>0</v>
      </c>
      <c r="W114" s="146"/>
      <c r="X114" s="144"/>
      <c r="Y114" s="145"/>
      <c r="Z114" s="144"/>
      <c r="AA114" s="151"/>
      <c r="AB114" s="145"/>
      <c r="AC114" s="144"/>
      <c r="AD114" s="152"/>
      <c r="AE114" s="153"/>
      <c r="AF114" s="154"/>
    </row>
    <row r="115" s="10" customFormat="1" ht="14.15" customHeight="1" spans="1:32">
      <c r="A115" s="144"/>
      <c r="B115" s="144"/>
      <c r="C115" s="144"/>
      <c r="D115" s="144"/>
      <c r="E115" s="144"/>
      <c r="F115" s="145"/>
      <c r="G115" s="145"/>
      <c r="H115" s="146"/>
      <c r="I115" s="146"/>
      <c r="J115" s="144"/>
      <c r="K115" s="145"/>
      <c r="L115" s="144"/>
      <c r="M115" s="144"/>
      <c r="N115" s="144"/>
      <c r="O115" s="147" t="s">
        <v>305</v>
      </c>
      <c r="P115" s="144"/>
      <c r="Q115" s="144"/>
      <c r="R115" s="148"/>
      <c r="S115" s="149" t="s">
        <v>306</v>
      </c>
      <c r="T115" s="149"/>
      <c r="U115" s="144">
        <f t="shared" si="0"/>
        <v>0</v>
      </c>
      <c r="V115" s="150">
        <f t="shared" si="1"/>
        <v>0</v>
      </c>
      <c r="W115" s="146"/>
      <c r="X115" s="144"/>
      <c r="Y115" s="145"/>
      <c r="Z115" s="144"/>
      <c r="AA115" s="151"/>
      <c r="AB115" s="145"/>
      <c r="AC115" s="144"/>
      <c r="AD115" s="152"/>
      <c r="AE115" s="155"/>
      <c r="AF115" s="154"/>
    </row>
    <row r="116" s="10" customFormat="1" ht="14.15" customHeight="1" spans="1:32">
      <c r="A116" s="144"/>
      <c r="B116" s="144"/>
      <c r="C116" s="144"/>
      <c r="D116" s="144"/>
      <c r="E116" s="144"/>
      <c r="F116" s="145"/>
      <c r="G116" s="145"/>
      <c r="H116" s="146"/>
      <c r="I116" s="146"/>
      <c r="J116" s="144"/>
      <c r="K116" s="145"/>
      <c r="L116" s="144"/>
      <c r="M116" s="144"/>
      <c r="N116" s="144"/>
      <c r="O116" s="147" t="s">
        <v>307</v>
      </c>
      <c r="P116" s="144"/>
      <c r="Q116" s="144"/>
      <c r="R116" s="148"/>
      <c r="S116" s="149" t="s">
        <v>308</v>
      </c>
      <c r="T116" s="149"/>
      <c r="U116" s="144">
        <f t="shared" si="0"/>
        <v>0</v>
      </c>
      <c r="V116" s="150">
        <f t="shared" si="1"/>
        <v>0</v>
      </c>
      <c r="W116" s="146"/>
      <c r="X116" s="144"/>
      <c r="Y116" s="145"/>
      <c r="Z116" s="144"/>
      <c r="AA116" s="151"/>
      <c r="AB116" s="145"/>
      <c r="AC116" s="144"/>
      <c r="AD116" s="152"/>
      <c r="AE116" s="156"/>
      <c r="AF116" s="154"/>
    </row>
    <row r="117" s="10" customFormat="1" ht="14.15" customHeight="1" spans="1:32">
      <c r="A117" s="144" t="s">
        <v>309</v>
      </c>
      <c r="B117" s="144" t="s">
        <v>310</v>
      </c>
      <c r="C117" s="144" t="s">
        <v>194</v>
      </c>
      <c r="D117" s="144"/>
      <c r="E117" s="144"/>
      <c r="F117" s="145">
        <f>E117/2500</f>
        <v>0</v>
      </c>
      <c r="G117" s="145"/>
      <c r="H117" s="146" t="s">
        <v>195</v>
      </c>
      <c r="I117" s="146" t="s">
        <v>311</v>
      </c>
      <c r="J117" s="144"/>
      <c r="K117" s="145">
        <f>J117/300</f>
        <v>0</v>
      </c>
      <c r="L117" s="144" t="s">
        <v>194</v>
      </c>
      <c r="M117" s="144"/>
      <c r="N117" s="144"/>
      <c r="O117" s="147" t="s">
        <v>312</v>
      </c>
      <c r="P117" s="144"/>
      <c r="Q117" s="144"/>
      <c r="R117" s="148"/>
      <c r="S117" s="149" t="s">
        <v>313</v>
      </c>
      <c r="T117" s="149"/>
      <c r="U117" s="144">
        <f t="shared" si="0"/>
        <v>0</v>
      </c>
      <c r="V117" s="150">
        <f t="shared" si="1"/>
        <v>0</v>
      </c>
      <c r="W117" s="146">
        <v>402</v>
      </c>
      <c r="X117" s="144">
        <f>SUM(U117:U126)</f>
        <v>0</v>
      </c>
      <c r="Y117" s="145">
        <f>X117/2150</f>
        <v>0</v>
      </c>
      <c r="Z117" s="144">
        <v>170</v>
      </c>
      <c r="AA117" s="151">
        <v>170</v>
      </c>
      <c r="AB117" s="145">
        <f>115/Z117</f>
        <v>0.676470588235294</v>
      </c>
      <c r="AC117" s="144" t="s">
        <v>225</v>
      </c>
      <c r="AD117" s="152">
        <f>20-AC117</f>
        <v>20</v>
      </c>
      <c r="AE117" s="153" t="s">
        <v>199</v>
      </c>
      <c r="AF117" s="154"/>
    </row>
    <row r="118" s="10" customFormat="1" ht="14.15" customHeight="1" spans="1:32">
      <c r="A118" s="144"/>
      <c r="B118" s="144"/>
      <c r="C118" s="144"/>
      <c r="D118" s="144"/>
      <c r="E118" s="144"/>
      <c r="F118" s="145"/>
      <c r="G118" s="145"/>
      <c r="H118" s="146"/>
      <c r="I118" s="146"/>
      <c r="J118" s="144"/>
      <c r="K118" s="145"/>
      <c r="L118" s="144"/>
      <c r="M118" s="144"/>
      <c r="N118" s="144"/>
      <c r="O118" s="147" t="s">
        <v>314</v>
      </c>
      <c r="P118" s="144"/>
      <c r="Q118" s="144"/>
      <c r="R118" s="148"/>
      <c r="S118" s="149" t="s">
        <v>315</v>
      </c>
      <c r="T118" s="149"/>
      <c r="U118" s="144">
        <f t="shared" si="0"/>
        <v>0</v>
      </c>
      <c r="V118" s="150">
        <f t="shared" si="1"/>
        <v>0</v>
      </c>
      <c r="W118" s="146"/>
      <c r="X118" s="144"/>
      <c r="Y118" s="145"/>
      <c r="Z118" s="144"/>
      <c r="AA118" s="151"/>
      <c r="AB118" s="145"/>
      <c r="AC118" s="144"/>
      <c r="AD118" s="152"/>
      <c r="AE118" s="155"/>
      <c r="AF118" s="154"/>
    </row>
    <row r="119" s="10" customFormat="1" ht="14.15" customHeight="1" spans="1:32">
      <c r="A119" s="144"/>
      <c r="B119" s="144"/>
      <c r="C119" s="144"/>
      <c r="D119" s="144"/>
      <c r="E119" s="144"/>
      <c r="F119" s="145"/>
      <c r="G119" s="145"/>
      <c r="H119" s="146"/>
      <c r="I119" s="146"/>
      <c r="J119" s="144"/>
      <c r="K119" s="145"/>
      <c r="L119" s="144"/>
      <c r="M119" s="144"/>
      <c r="N119" s="144"/>
      <c r="O119" s="147" t="s">
        <v>316</v>
      </c>
      <c r="P119" s="144"/>
      <c r="Q119" s="144"/>
      <c r="R119" s="148"/>
      <c r="S119" s="149" t="s">
        <v>317</v>
      </c>
      <c r="T119" s="149"/>
      <c r="U119" s="144">
        <f t="shared" si="0"/>
        <v>0</v>
      </c>
      <c r="V119" s="150">
        <f t="shared" si="1"/>
        <v>0</v>
      </c>
      <c r="W119" s="146"/>
      <c r="X119" s="144"/>
      <c r="Y119" s="145"/>
      <c r="Z119" s="144"/>
      <c r="AA119" s="151"/>
      <c r="AB119" s="145"/>
      <c r="AC119" s="144"/>
      <c r="AD119" s="152"/>
      <c r="AE119" s="156"/>
      <c r="AF119" s="154"/>
    </row>
    <row r="120" s="10" customFormat="1" ht="14.15" customHeight="1" spans="1:32">
      <c r="A120" s="144"/>
      <c r="B120" s="144"/>
      <c r="C120" s="144"/>
      <c r="D120" s="144"/>
      <c r="E120" s="144"/>
      <c r="F120" s="145"/>
      <c r="G120" s="145"/>
      <c r="H120" s="146"/>
      <c r="I120" s="146"/>
      <c r="J120" s="144"/>
      <c r="K120" s="145"/>
      <c r="L120" s="144"/>
      <c r="M120" s="144"/>
      <c r="N120" s="144"/>
      <c r="O120" s="147" t="s">
        <v>318</v>
      </c>
      <c r="P120" s="144"/>
      <c r="Q120" s="144"/>
      <c r="R120" s="148"/>
      <c r="S120" s="149" t="s">
        <v>319</v>
      </c>
      <c r="T120" s="149"/>
      <c r="U120" s="144">
        <f t="shared" si="0"/>
        <v>0</v>
      </c>
      <c r="V120" s="150">
        <f t="shared" si="1"/>
        <v>0</v>
      </c>
      <c r="W120" s="146"/>
      <c r="X120" s="144"/>
      <c r="Y120" s="145"/>
      <c r="Z120" s="144"/>
      <c r="AA120" s="151"/>
      <c r="AB120" s="145"/>
      <c r="AC120" s="144"/>
      <c r="AD120" s="152"/>
      <c r="AE120" s="153"/>
      <c r="AF120" s="154"/>
    </row>
    <row r="121" s="10" customFormat="1" ht="14.15" customHeight="1" spans="1:32">
      <c r="A121" s="144"/>
      <c r="B121" s="144"/>
      <c r="C121" s="144"/>
      <c r="D121" s="144"/>
      <c r="E121" s="144"/>
      <c r="F121" s="145"/>
      <c r="G121" s="145"/>
      <c r="H121" s="146"/>
      <c r="I121" s="146"/>
      <c r="J121" s="144"/>
      <c r="K121" s="145"/>
      <c r="L121" s="144"/>
      <c r="M121" s="144"/>
      <c r="N121" s="144"/>
      <c r="O121" s="147" t="s">
        <v>320</v>
      </c>
      <c r="P121" s="144"/>
      <c r="Q121" s="144"/>
      <c r="R121" s="148"/>
      <c r="S121" s="149" t="s">
        <v>321</v>
      </c>
      <c r="T121" s="149"/>
      <c r="U121" s="144">
        <f t="shared" si="0"/>
        <v>0</v>
      </c>
      <c r="V121" s="150">
        <f t="shared" si="1"/>
        <v>0</v>
      </c>
      <c r="W121" s="146"/>
      <c r="X121" s="144"/>
      <c r="Y121" s="145"/>
      <c r="Z121" s="144"/>
      <c r="AA121" s="151"/>
      <c r="AB121" s="145"/>
      <c r="AC121" s="144"/>
      <c r="AD121" s="152"/>
      <c r="AE121" s="156"/>
      <c r="AF121" s="154"/>
    </row>
    <row r="122" s="10" customFormat="1" ht="14.15" customHeight="1" spans="1:32">
      <c r="A122" s="144"/>
      <c r="B122" s="144" t="s">
        <v>322</v>
      </c>
      <c r="C122" s="144" t="s">
        <v>194</v>
      </c>
      <c r="D122" s="144"/>
      <c r="E122" s="144"/>
      <c r="F122" s="145">
        <f>E122/2500</f>
        <v>0</v>
      </c>
      <c r="G122" s="145"/>
      <c r="H122" s="146" t="s">
        <v>195</v>
      </c>
      <c r="I122" s="146"/>
      <c r="J122" s="144"/>
      <c r="K122" s="145"/>
      <c r="L122" s="144"/>
      <c r="M122" s="144"/>
      <c r="N122" s="144"/>
      <c r="O122" s="147" t="s">
        <v>323</v>
      </c>
      <c r="P122" s="144"/>
      <c r="Q122" s="144"/>
      <c r="R122" s="148"/>
      <c r="S122" s="149" t="s">
        <v>324</v>
      </c>
      <c r="T122" s="149"/>
      <c r="U122" s="144">
        <f t="shared" si="0"/>
        <v>0</v>
      </c>
      <c r="V122" s="150">
        <f t="shared" si="1"/>
        <v>0</v>
      </c>
      <c r="W122" s="146"/>
      <c r="X122" s="144"/>
      <c r="Y122" s="145"/>
      <c r="Z122" s="144"/>
      <c r="AA122" s="151"/>
      <c r="AB122" s="145"/>
      <c r="AC122" s="144"/>
      <c r="AD122" s="152"/>
      <c r="AE122" s="153" t="s">
        <v>211</v>
      </c>
      <c r="AF122" s="154"/>
    </row>
    <row r="123" s="10" customFormat="1" ht="14.15" customHeight="1" spans="1:32">
      <c r="A123" s="144"/>
      <c r="B123" s="144"/>
      <c r="C123" s="144"/>
      <c r="D123" s="144"/>
      <c r="E123" s="144"/>
      <c r="F123" s="145"/>
      <c r="G123" s="145"/>
      <c r="H123" s="146"/>
      <c r="I123" s="146"/>
      <c r="J123" s="144"/>
      <c r="K123" s="145"/>
      <c r="L123" s="144"/>
      <c r="M123" s="144"/>
      <c r="N123" s="144"/>
      <c r="O123" s="147" t="s">
        <v>325</v>
      </c>
      <c r="P123" s="144"/>
      <c r="Q123" s="144"/>
      <c r="R123" s="148"/>
      <c r="S123" s="149" t="s">
        <v>326</v>
      </c>
      <c r="T123" s="149"/>
      <c r="U123" s="144">
        <f t="shared" si="0"/>
        <v>0</v>
      </c>
      <c r="V123" s="150">
        <f t="shared" si="1"/>
        <v>0</v>
      </c>
      <c r="W123" s="146"/>
      <c r="X123" s="144"/>
      <c r="Y123" s="145"/>
      <c r="Z123" s="144"/>
      <c r="AA123" s="151"/>
      <c r="AB123" s="145"/>
      <c r="AC123" s="144"/>
      <c r="AD123" s="152"/>
      <c r="AE123" s="155"/>
      <c r="AF123" s="154"/>
    </row>
    <row r="124" s="10" customFormat="1" ht="14.15" customHeight="1" spans="1:32">
      <c r="A124" s="144"/>
      <c r="B124" s="144"/>
      <c r="C124" s="144"/>
      <c r="D124" s="144"/>
      <c r="E124" s="144"/>
      <c r="F124" s="145"/>
      <c r="G124" s="145"/>
      <c r="H124" s="146"/>
      <c r="I124" s="146"/>
      <c r="J124" s="144"/>
      <c r="K124" s="145"/>
      <c r="L124" s="144"/>
      <c r="M124" s="144"/>
      <c r="N124" s="144"/>
      <c r="O124" s="147" t="s">
        <v>327</v>
      </c>
      <c r="P124" s="144"/>
      <c r="Q124" s="144"/>
      <c r="R124" s="148"/>
      <c r="S124" s="149" t="s">
        <v>328</v>
      </c>
      <c r="T124" s="149"/>
      <c r="U124" s="144">
        <f t="shared" si="0"/>
        <v>0</v>
      </c>
      <c r="V124" s="150">
        <f t="shared" si="1"/>
        <v>0</v>
      </c>
      <c r="W124" s="146"/>
      <c r="X124" s="144"/>
      <c r="Y124" s="145"/>
      <c r="Z124" s="144"/>
      <c r="AA124" s="151"/>
      <c r="AB124" s="145"/>
      <c r="AC124" s="144"/>
      <c r="AD124" s="152"/>
      <c r="AE124" s="156"/>
      <c r="AF124" s="154"/>
    </row>
    <row r="125" s="10" customFormat="1" ht="14.15" customHeight="1" spans="1:32">
      <c r="A125" s="144"/>
      <c r="B125" s="144"/>
      <c r="C125" s="144"/>
      <c r="D125" s="144"/>
      <c r="E125" s="144"/>
      <c r="F125" s="145"/>
      <c r="G125" s="145"/>
      <c r="H125" s="146"/>
      <c r="I125" s="146"/>
      <c r="J125" s="144"/>
      <c r="K125" s="145"/>
      <c r="L125" s="144"/>
      <c r="M125" s="144"/>
      <c r="N125" s="144"/>
      <c r="O125" s="147" t="s">
        <v>329</v>
      </c>
      <c r="P125" s="144"/>
      <c r="Q125" s="144"/>
      <c r="R125" s="148"/>
      <c r="S125" s="149" t="s">
        <v>330</v>
      </c>
      <c r="T125" s="149"/>
      <c r="U125" s="144">
        <f t="shared" si="0"/>
        <v>0</v>
      </c>
      <c r="V125" s="150">
        <f t="shared" si="1"/>
        <v>0</v>
      </c>
      <c r="W125" s="146"/>
      <c r="X125" s="144"/>
      <c r="Y125" s="145"/>
      <c r="Z125" s="144"/>
      <c r="AA125" s="151"/>
      <c r="AB125" s="145"/>
      <c r="AC125" s="144"/>
      <c r="AD125" s="152"/>
      <c r="AE125" s="153"/>
      <c r="AF125" s="154"/>
    </row>
    <row r="126" s="10" customFormat="1" ht="14.15" customHeight="1" spans="1:32">
      <c r="A126" s="144"/>
      <c r="B126" s="144"/>
      <c r="C126" s="144"/>
      <c r="D126" s="144"/>
      <c r="E126" s="144"/>
      <c r="F126" s="145"/>
      <c r="G126" s="145"/>
      <c r="H126" s="146"/>
      <c r="I126" s="146"/>
      <c r="J126" s="144"/>
      <c r="K126" s="145"/>
      <c r="L126" s="144"/>
      <c r="M126" s="144"/>
      <c r="N126" s="144"/>
      <c r="O126" s="147" t="s">
        <v>331</v>
      </c>
      <c r="P126" s="144"/>
      <c r="Q126" s="144"/>
      <c r="R126" s="148"/>
      <c r="S126" s="149" t="s">
        <v>332</v>
      </c>
      <c r="T126" s="149"/>
      <c r="U126" s="144">
        <f t="shared" si="0"/>
        <v>0</v>
      </c>
      <c r="V126" s="150">
        <f t="shared" si="1"/>
        <v>0</v>
      </c>
      <c r="W126" s="146"/>
      <c r="X126" s="144"/>
      <c r="Y126" s="145"/>
      <c r="Z126" s="144"/>
      <c r="AA126" s="151"/>
      <c r="AB126" s="145"/>
      <c r="AC126" s="144"/>
      <c r="AD126" s="152"/>
      <c r="AE126" s="156"/>
      <c r="AF126" s="154"/>
    </row>
    <row r="127" s="10" customFormat="1" ht="14.15" customHeight="1" spans="1:32">
      <c r="A127" s="144" t="s">
        <v>333</v>
      </c>
      <c r="B127" s="144" t="s">
        <v>334</v>
      </c>
      <c r="C127" s="144" t="s">
        <v>194</v>
      </c>
      <c r="D127" s="144"/>
      <c r="E127" s="144"/>
      <c r="F127" s="145">
        <f>E127/2500</f>
        <v>0</v>
      </c>
      <c r="G127" s="145"/>
      <c r="H127" s="146" t="s">
        <v>195</v>
      </c>
      <c r="I127" s="146" t="s">
        <v>335</v>
      </c>
      <c r="J127" s="144"/>
      <c r="K127" s="145">
        <f>J127/300</f>
        <v>0</v>
      </c>
      <c r="L127" s="144" t="s">
        <v>194</v>
      </c>
      <c r="M127" s="144"/>
      <c r="N127" s="144"/>
      <c r="O127" s="147" t="s">
        <v>336</v>
      </c>
      <c r="P127" s="144"/>
      <c r="Q127" s="144"/>
      <c r="R127" s="148"/>
      <c r="S127" s="149" t="s">
        <v>337</v>
      </c>
      <c r="T127" s="149"/>
      <c r="U127" s="144">
        <f t="shared" si="0"/>
        <v>0</v>
      </c>
      <c r="V127" s="150">
        <f t="shared" si="1"/>
        <v>0</v>
      </c>
      <c r="W127" s="146">
        <v>401</v>
      </c>
      <c r="X127" s="144">
        <f>SUM(U127:U136)</f>
        <v>0</v>
      </c>
      <c r="Y127" s="145">
        <f>X127/2150</f>
        <v>0</v>
      </c>
      <c r="Z127" s="144">
        <v>170</v>
      </c>
      <c r="AA127" s="151">
        <v>170</v>
      </c>
      <c r="AB127" s="145">
        <f>125/Z127</f>
        <v>0.735294117647059</v>
      </c>
      <c r="AC127" s="144" t="s">
        <v>225</v>
      </c>
      <c r="AD127" s="152">
        <f>20-AC127</f>
        <v>20</v>
      </c>
      <c r="AE127" s="153" t="s">
        <v>199</v>
      </c>
      <c r="AF127" s="154"/>
    </row>
    <row r="128" s="10" customFormat="1" ht="14.15" customHeight="1" spans="1:32">
      <c r="A128" s="144"/>
      <c r="B128" s="144"/>
      <c r="C128" s="144"/>
      <c r="D128" s="144"/>
      <c r="E128" s="144"/>
      <c r="F128" s="145"/>
      <c r="G128" s="145"/>
      <c r="H128" s="146"/>
      <c r="I128" s="146"/>
      <c r="J128" s="144"/>
      <c r="K128" s="145"/>
      <c r="L128" s="144"/>
      <c r="M128" s="144"/>
      <c r="N128" s="144"/>
      <c r="O128" s="147" t="s">
        <v>338</v>
      </c>
      <c r="P128" s="144"/>
      <c r="Q128" s="144"/>
      <c r="R128" s="148"/>
      <c r="S128" s="149" t="s">
        <v>339</v>
      </c>
      <c r="T128" s="149"/>
      <c r="U128" s="144">
        <f t="shared" si="0"/>
        <v>0</v>
      </c>
      <c r="V128" s="150">
        <f t="shared" si="1"/>
        <v>0</v>
      </c>
      <c r="W128" s="146"/>
      <c r="X128" s="144"/>
      <c r="Y128" s="145"/>
      <c r="Z128" s="144"/>
      <c r="AA128" s="151"/>
      <c r="AB128" s="145"/>
      <c r="AC128" s="144"/>
      <c r="AD128" s="152"/>
      <c r="AE128" s="155"/>
      <c r="AF128" s="154"/>
    </row>
    <row r="129" s="10" customFormat="1" ht="14.15" customHeight="1" spans="1:32">
      <c r="A129" s="144"/>
      <c r="B129" s="144"/>
      <c r="C129" s="144"/>
      <c r="D129" s="144"/>
      <c r="E129" s="144"/>
      <c r="F129" s="145"/>
      <c r="G129" s="145"/>
      <c r="H129" s="146"/>
      <c r="I129" s="146"/>
      <c r="J129" s="144"/>
      <c r="K129" s="145"/>
      <c r="L129" s="144"/>
      <c r="M129" s="144"/>
      <c r="N129" s="144"/>
      <c r="O129" s="147" t="s">
        <v>340</v>
      </c>
      <c r="P129" s="144"/>
      <c r="Q129" s="144"/>
      <c r="R129" s="148"/>
      <c r="S129" s="149" t="s">
        <v>341</v>
      </c>
      <c r="T129" s="149"/>
      <c r="U129" s="144">
        <f t="shared" si="0"/>
        <v>0</v>
      </c>
      <c r="V129" s="150">
        <f t="shared" si="1"/>
        <v>0</v>
      </c>
      <c r="W129" s="146"/>
      <c r="X129" s="144"/>
      <c r="Y129" s="145"/>
      <c r="Z129" s="144"/>
      <c r="AA129" s="151"/>
      <c r="AB129" s="145"/>
      <c r="AC129" s="144"/>
      <c r="AD129" s="152"/>
      <c r="AE129" s="156"/>
      <c r="AF129" s="154"/>
    </row>
    <row r="130" s="10" customFormat="1" ht="14.15" customHeight="1" spans="1:32">
      <c r="A130" s="144"/>
      <c r="B130" s="144"/>
      <c r="C130" s="144"/>
      <c r="D130" s="144"/>
      <c r="E130" s="144"/>
      <c r="F130" s="145"/>
      <c r="G130" s="145"/>
      <c r="H130" s="146"/>
      <c r="I130" s="146"/>
      <c r="J130" s="144"/>
      <c r="K130" s="145"/>
      <c r="L130" s="144"/>
      <c r="M130" s="144"/>
      <c r="N130" s="144"/>
      <c r="O130" s="147" t="s">
        <v>342</v>
      </c>
      <c r="P130" s="144"/>
      <c r="Q130" s="144"/>
      <c r="R130" s="148"/>
      <c r="S130" s="149" t="s">
        <v>343</v>
      </c>
      <c r="T130" s="149"/>
      <c r="U130" s="144">
        <f t="shared" si="0"/>
        <v>0</v>
      </c>
      <c r="V130" s="150">
        <f t="shared" si="1"/>
        <v>0</v>
      </c>
      <c r="W130" s="146"/>
      <c r="X130" s="144"/>
      <c r="Y130" s="145"/>
      <c r="Z130" s="144"/>
      <c r="AA130" s="151"/>
      <c r="AB130" s="145"/>
      <c r="AC130" s="144"/>
      <c r="AD130" s="152"/>
      <c r="AE130" s="153"/>
      <c r="AF130" s="154"/>
    </row>
    <row r="131" s="10" customFormat="1" ht="14.15" customHeight="1" spans="1:32">
      <c r="A131" s="144"/>
      <c r="B131" s="144"/>
      <c r="C131" s="144"/>
      <c r="D131" s="144"/>
      <c r="E131" s="144"/>
      <c r="F131" s="145"/>
      <c r="G131" s="145"/>
      <c r="H131" s="146"/>
      <c r="I131" s="146"/>
      <c r="J131" s="144"/>
      <c r="K131" s="145"/>
      <c r="L131" s="144"/>
      <c r="M131" s="144"/>
      <c r="N131" s="144"/>
      <c r="O131" s="147" t="s">
        <v>344</v>
      </c>
      <c r="P131" s="144"/>
      <c r="Q131" s="144"/>
      <c r="R131" s="148"/>
      <c r="S131" s="149" t="s">
        <v>345</v>
      </c>
      <c r="T131" s="149"/>
      <c r="U131" s="144">
        <f t="shared" si="0"/>
        <v>0</v>
      </c>
      <c r="V131" s="150">
        <f t="shared" si="1"/>
        <v>0</v>
      </c>
      <c r="W131" s="146"/>
      <c r="X131" s="144"/>
      <c r="Y131" s="145"/>
      <c r="Z131" s="144"/>
      <c r="AA131" s="151"/>
      <c r="AB131" s="145"/>
      <c r="AC131" s="144"/>
      <c r="AD131" s="152"/>
      <c r="AE131" s="156"/>
      <c r="AF131" s="154"/>
    </row>
    <row r="132" s="10" customFormat="1" ht="14.15" customHeight="1" spans="1:32">
      <c r="A132" s="144"/>
      <c r="B132" s="144" t="s">
        <v>346</v>
      </c>
      <c r="C132" s="144" t="s">
        <v>194</v>
      </c>
      <c r="D132" s="144"/>
      <c r="E132" s="144"/>
      <c r="F132" s="145">
        <f>E132/2500</f>
        <v>0</v>
      </c>
      <c r="G132" s="145"/>
      <c r="H132" s="146" t="s">
        <v>195</v>
      </c>
      <c r="I132" s="146"/>
      <c r="J132" s="144"/>
      <c r="K132" s="145"/>
      <c r="L132" s="144"/>
      <c r="M132" s="144"/>
      <c r="N132" s="144"/>
      <c r="O132" s="147" t="s">
        <v>347</v>
      </c>
      <c r="P132" s="144"/>
      <c r="Q132" s="144"/>
      <c r="R132" s="148"/>
      <c r="S132" s="149" t="s">
        <v>348</v>
      </c>
      <c r="T132" s="149"/>
      <c r="U132" s="144">
        <f t="shared" si="0"/>
        <v>0</v>
      </c>
      <c r="V132" s="150">
        <f t="shared" si="1"/>
        <v>0</v>
      </c>
      <c r="W132" s="146"/>
      <c r="X132" s="144"/>
      <c r="Y132" s="145"/>
      <c r="Z132" s="144"/>
      <c r="AA132" s="151"/>
      <c r="AB132" s="145"/>
      <c r="AC132" s="144"/>
      <c r="AD132" s="152"/>
      <c r="AE132" s="153" t="s">
        <v>211</v>
      </c>
      <c r="AF132" s="154"/>
    </row>
    <row r="133" s="10" customFormat="1" ht="14.15" customHeight="1" spans="1:32">
      <c r="A133" s="144"/>
      <c r="B133" s="144"/>
      <c r="C133" s="144"/>
      <c r="D133" s="144"/>
      <c r="E133" s="144"/>
      <c r="F133" s="145"/>
      <c r="G133" s="145"/>
      <c r="H133" s="146"/>
      <c r="I133" s="146"/>
      <c r="J133" s="144"/>
      <c r="K133" s="145"/>
      <c r="L133" s="144"/>
      <c r="M133" s="144"/>
      <c r="N133" s="144"/>
      <c r="O133" s="147" t="s">
        <v>349</v>
      </c>
      <c r="P133" s="144"/>
      <c r="Q133" s="144"/>
      <c r="R133" s="148"/>
      <c r="S133" s="149" t="s">
        <v>350</v>
      </c>
      <c r="T133" s="149"/>
      <c r="U133" s="144">
        <f t="shared" ref="U133:U136" si="2">R133*0.935</f>
        <v>0</v>
      </c>
      <c r="V133" s="150">
        <f t="shared" ref="V133:V136" si="3">U133/215</f>
        <v>0</v>
      </c>
      <c r="W133" s="146"/>
      <c r="X133" s="144"/>
      <c r="Y133" s="145"/>
      <c r="Z133" s="144"/>
      <c r="AA133" s="151"/>
      <c r="AB133" s="145"/>
      <c r="AC133" s="144"/>
      <c r="AD133" s="152"/>
      <c r="AE133" s="155"/>
      <c r="AF133" s="154"/>
    </row>
    <row r="134" s="10" customFormat="1" ht="14.15" customHeight="1" spans="1:32">
      <c r="A134" s="144"/>
      <c r="B134" s="144"/>
      <c r="C134" s="144"/>
      <c r="D134" s="144"/>
      <c r="E134" s="144"/>
      <c r="F134" s="145"/>
      <c r="G134" s="145"/>
      <c r="H134" s="146"/>
      <c r="I134" s="146"/>
      <c r="J134" s="144"/>
      <c r="K134" s="145"/>
      <c r="L134" s="144"/>
      <c r="M134" s="144"/>
      <c r="N134" s="144"/>
      <c r="O134" s="147" t="s">
        <v>351</v>
      </c>
      <c r="P134" s="144"/>
      <c r="Q134" s="144"/>
      <c r="R134" s="148"/>
      <c r="S134" s="149" t="s">
        <v>352</v>
      </c>
      <c r="T134" s="149"/>
      <c r="U134" s="144">
        <f t="shared" si="2"/>
        <v>0</v>
      </c>
      <c r="V134" s="150">
        <f t="shared" si="3"/>
        <v>0</v>
      </c>
      <c r="W134" s="146"/>
      <c r="X134" s="144"/>
      <c r="Y134" s="145"/>
      <c r="Z134" s="144"/>
      <c r="AA134" s="151"/>
      <c r="AB134" s="145"/>
      <c r="AC134" s="144"/>
      <c r="AD134" s="152"/>
      <c r="AE134" s="156"/>
      <c r="AF134" s="154"/>
    </row>
    <row r="135" s="10" customFormat="1" ht="14.15" customHeight="1" spans="1:32">
      <c r="A135" s="144"/>
      <c r="B135" s="144"/>
      <c r="C135" s="144"/>
      <c r="D135" s="144"/>
      <c r="E135" s="144"/>
      <c r="F135" s="145"/>
      <c r="G135" s="145"/>
      <c r="H135" s="146"/>
      <c r="I135" s="146"/>
      <c r="J135" s="144"/>
      <c r="K135" s="145"/>
      <c r="L135" s="144"/>
      <c r="M135" s="144"/>
      <c r="N135" s="144"/>
      <c r="O135" s="147" t="s">
        <v>353</v>
      </c>
      <c r="P135" s="144"/>
      <c r="Q135" s="144"/>
      <c r="R135" s="148"/>
      <c r="S135" s="149" t="s">
        <v>354</v>
      </c>
      <c r="T135" s="149"/>
      <c r="U135" s="144">
        <f t="shared" si="2"/>
        <v>0</v>
      </c>
      <c r="V135" s="150">
        <f t="shared" si="3"/>
        <v>0</v>
      </c>
      <c r="W135" s="146"/>
      <c r="X135" s="144"/>
      <c r="Y135" s="145"/>
      <c r="Z135" s="144"/>
      <c r="AA135" s="151"/>
      <c r="AB135" s="145"/>
      <c r="AC135" s="144"/>
      <c r="AD135" s="152"/>
      <c r="AE135" s="153"/>
      <c r="AF135" s="154"/>
    </row>
    <row r="136" s="10" customFormat="1" ht="14.15" customHeight="1" spans="1:32">
      <c r="A136" s="144"/>
      <c r="B136" s="144"/>
      <c r="C136" s="144"/>
      <c r="D136" s="144"/>
      <c r="E136" s="144"/>
      <c r="F136" s="145"/>
      <c r="G136" s="145"/>
      <c r="H136" s="146"/>
      <c r="I136" s="146"/>
      <c r="J136" s="144"/>
      <c r="K136" s="145"/>
      <c r="L136" s="144"/>
      <c r="M136" s="144"/>
      <c r="N136" s="144"/>
      <c r="O136" s="147" t="s">
        <v>355</v>
      </c>
      <c r="P136" s="144"/>
      <c r="Q136" s="144"/>
      <c r="R136" s="148"/>
      <c r="S136" s="149" t="s">
        <v>356</v>
      </c>
      <c r="T136" s="149"/>
      <c r="U136" s="144">
        <f t="shared" si="2"/>
        <v>0</v>
      </c>
      <c r="V136" s="150">
        <f t="shared" si="3"/>
        <v>0</v>
      </c>
      <c r="W136" s="146"/>
      <c r="X136" s="144"/>
      <c r="Y136" s="145"/>
      <c r="Z136" s="144"/>
      <c r="AA136" s="151"/>
      <c r="AB136" s="145"/>
      <c r="AC136" s="144"/>
      <c r="AD136" s="152"/>
      <c r="AE136" s="156"/>
      <c r="AF136" s="154"/>
    </row>
    <row r="137" s="10" customFormat="1" ht="16.5" customHeight="1" spans="1:32">
      <c r="A137" s="144" t="s">
        <v>357</v>
      </c>
      <c r="B137" s="144" t="s">
        <v>358</v>
      </c>
      <c r="C137" s="144" t="s">
        <v>194</v>
      </c>
      <c r="D137" s="144"/>
      <c r="E137" s="144"/>
      <c r="F137" s="145">
        <f>E137/2500</f>
        <v>0</v>
      </c>
      <c r="G137" s="145"/>
      <c r="H137" s="146" t="s">
        <v>195</v>
      </c>
      <c r="I137" s="146" t="s">
        <v>359</v>
      </c>
      <c r="J137" s="159"/>
      <c r="K137" s="145">
        <f>J137/300</f>
        <v>0</v>
      </c>
      <c r="L137" s="144" t="s">
        <v>194</v>
      </c>
      <c r="M137" s="144"/>
      <c r="N137" s="14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 s="10" customFormat="1" ht="16.5" customHeight="1" spans="1:32">
      <c r="A138" s="144"/>
      <c r="B138" s="144"/>
      <c r="C138" s="144"/>
      <c r="D138" s="144"/>
      <c r="E138" s="144"/>
      <c r="F138" s="145"/>
      <c r="G138" s="145"/>
      <c r="H138" s="146"/>
      <c r="I138" s="146"/>
      <c r="J138" s="159"/>
      <c r="K138" s="145"/>
      <c r="L138" s="144"/>
      <c r="M138" s="144"/>
      <c r="N138" s="14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 s="10" customFormat="1" ht="16.5" customHeight="1" spans="1:32">
      <c r="A139" s="144"/>
      <c r="B139" s="144"/>
      <c r="C139" s="144"/>
      <c r="D139" s="144"/>
      <c r="E139" s="144"/>
      <c r="F139" s="145"/>
      <c r="G139" s="145"/>
      <c r="H139" s="146"/>
      <c r="I139" s="146"/>
      <c r="J139" s="159"/>
      <c r="K139" s="145"/>
      <c r="L139" s="144"/>
      <c r="M139" s="144"/>
      <c r="N139" s="144"/>
      <c r="O139" s="154"/>
      <c r="P139" s="154"/>
      <c r="Q139" s="154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 s="10" customFormat="1" ht="16.5" customHeight="1" spans="1:32">
      <c r="A140" s="144"/>
      <c r="B140" s="144"/>
      <c r="C140" s="144"/>
      <c r="D140" s="144"/>
      <c r="E140" s="144"/>
      <c r="F140" s="145"/>
      <c r="G140" s="145"/>
      <c r="H140" s="146"/>
      <c r="I140" s="146"/>
      <c r="J140" s="159"/>
      <c r="K140" s="145"/>
      <c r="L140" s="144"/>
      <c r="M140" s="144"/>
      <c r="N140" s="14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 s="10" customFormat="1" ht="16.5" customHeight="1" spans="1:32">
      <c r="A141" s="144"/>
      <c r="B141" s="144"/>
      <c r="C141" s="144"/>
      <c r="D141" s="144"/>
      <c r="E141" s="144"/>
      <c r="F141" s="145"/>
      <c r="G141" s="145"/>
      <c r="H141" s="146"/>
      <c r="I141" s="146"/>
      <c r="J141" s="159"/>
      <c r="K141" s="145"/>
      <c r="L141" s="144"/>
      <c r="M141" s="144"/>
      <c r="N141" s="14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 s="10" customFormat="1" ht="16.5" customHeight="1" spans="1:32">
      <c r="A142" s="144"/>
      <c r="B142" s="144" t="s">
        <v>360</v>
      </c>
      <c r="C142" s="144" t="s">
        <v>194</v>
      </c>
      <c r="D142" s="144"/>
      <c r="E142" s="144"/>
      <c r="F142" s="145">
        <f>E142/2500</f>
        <v>0</v>
      </c>
      <c r="G142" s="145"/>
      <c r="H142" s="146" t="s">
        <v>195</v>
      </c>
      <c r="I142" s="146" t="s">
        <v>361</v>
      </c>
      <c r="J142" s="144"/>
      <c r="K142" s="145">
        <f>J142/400</f>
        <v>0</v>
      </c>
      <c r="L142" s="144"/>
      <c r="M142" s="144"/>
      <c r="N142" s="144"/>
      <c r="O142" s="154"/>
      <c r="P142" s="154"/>
      <c r="Q142" s="154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 s="10" customFormat="1" ht="16.5" customHeight="1" spans="1:32">
      <c r="A143" s="144"/>
      <c r="B143" s="144"/>
      <c r="C143" s="144"/>
      <c r="D143" s="144"/>
      <c r="E143" s="144"/>
      <c r="F143" s="145"/>
      <c r="G143" s="145"/>
      <c r="H143" s="146"/>
      <c r="I143" s="146"/>
      <c r="J143" s="144"/>
      <c r="K143" s="145"/>
      <c r="L143" s="144"/>
      <c r="M143" s="144"/>
      <c r="N143" s="144"/>
      <c r="O143" s="154"/>
      <c r="P143" s="154"/>
      <c r="Q143" s="154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 s="10" customFormat="1" ht="16.5" customHeight="1" spans="1:32">
      <c r="A144" s="144"/>
      <c r="B144" s="144"/>
      <c r="C144" s="144"/>
      <c r="D144" s="144"/>
      <c r="E144" s="144"/>
      <c r="F144" s="145"/>
      <c r="G144" s="145"/>
      <c r="H144" s="146"/>
      <c r="I144" s="146"/>
      <c r="J144" s="144"/>
      <c r="K144" s="145"/>
      <c r="L144" s="144"/>
      <c r="M144" s="144"/>
      <c r="N144" s="144"/>
      <c r="O144" s="154"/>
      <c r="P144" s="154"/>
      <c r="Q144" s="154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 s="10" customFormat="1" ht="16.5" customHeight="1" spans="1:32">
      <c r="A145" s="144"/>
      <c r="B145" s="144"/>
      <c r="C145" s="144"/>
      <c r="D145" s="144"/>
      <c r="E145" s="144"/>
      <c r="F145" s="145"/>
      <c r="G145" s="145"/>
      <c r="H145" s="146"/>
      <c r="I145" s="146"/>
      <c r="J145" s="144"/>
      <c r="K145" s="145"/>
      <c r="L145" s="144"/>
      <c r="M145" s="144"/>
      <c r="N145" s="144"/>
      <c r="O145" s="154"/>
      <c r="P145" s="154"/>
      <c r="Q145" s="154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 s="10" customFormat="1" ht="16.5" customHeight="1" spans="1:32">
      <c r="A146" s="144"/>
      <c r="B146" s="144"/>
      <c r="C146" s="144"/>
      <c r="D146" s="144"/>
      <c r="E146" s="144"/>
      <c r="F146" s="145"/>
      <c r="G146" s="145"/>
      <c r="H146" s="146"/>
      <c r="I146" s="146"/>
      <c r="J146" s="144"/>
      <c r="K146" s="145"/>
      <c r="L146" s="144"/>
      <c r="M146" s="144"/>
      <c r="N146" s="14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 s="10" customFormat="1" ht="16.5" customHeight="1" spans="1:32">
      <c r="A147" s="144" t="s">
        <v>362</v>
      </c>
      <c r="B147" s="144" t="s">
        <v>363</v>
      </c>
      <c r="C147" s="144" t="s">
        <v>194</v>
      </c>
      <c r="D147" s="144"/>
      <c r="E147" s="144"/>
      <c r="F147" s="145">
        <f>E147/2500</f>
        <v>0</v>
      </c>
      <c r="G147" s="145"/>
      <c r="H147" s="146" t="s">
        <v>195</v>
      </c>
      <c r="I147" s="146" t="s">
        <v>364</v>
      </c>
      <c r="J147" s="144"/>
      <c r="K147" s="145">
        <f>J147/300</f>
        <v>0</v>
      </c>
      <c r="L147" s="144" t="s">
        <v>194</v>
      </c>
      <c r="M147" s="144"/>
      <c r="N147" s="144"/>
      <c r="O147" s="154"/>
      <c r="P147" s="154"/>
      <c r="Q147" s="154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 s="10" customFormat="1" ht="16.5" customHeight="1" spans="1:32">
      <c r="A148" s="144"/>
      <c r="B148" s="144"/>
      <c r="C148" s="144"/>
      <c r="D148" s="144"/>
      <c r="E148" s="144"/>
      <c r="F148" s="145"/>
      <c r="G148" s="145"/>
      <c r="H148" s="146"/>
      <c r="I148" s="146"/>
      <c r="J148" s="144"/>
      <c r="K148" s="145"/>
      <c r="L148" s="144"/>
      <c r="M148" s="144"/>
      <c r="N148" s="144"/>
      <c r="O148" s="154"/>
      <c r="P148" s="154"/>
      <c r="Q148" s="154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 s="10" customFormat="1" ht="16.5" customHeight="1" spans="1:32">
      <c r="A149" s="144"/>
      <c r="B149" s="144"/>
      <c r="C149" s="144"/>
      <c r="D149" s="144"/>
      <c r="E149" s="144"/>
      <c r="F149" s="145"/>
      <c r="G149" s="145"/>
      <c r="H149" s="146"/>
      <c r="I149" s="146"/>
      <c r="J149" s="144"/>
      <c r="K149" s="145"/>
      <c r="L149" s="144"/>
      <c r="M149" s="144"/>
      <c r="N149" s="14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 s="10" customFormat="1" ht="16.5" customHeight="1" spans="1:32">
      <c r="A150" s="144"/>
      <c r="B150" s="144"/>
      <c r="C150" s="144"/>
      <c r="D150" s="144"/>
      <c r="E150" s="144"/>
      <c r="F150" s="145"/>
      <c r="G150" s="145"/>
      <c r="H150" s="146"/>
      <c r="I150" s="146"/>
      <c r="J150" s="144"/>
      <c r="K150" s="145"/>
      <c r="L150" s="144"/>
      <c r="M150" s="144"/>
      <c r="N150" s="14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 s="10" customFormat="1" ht="16.5" customHeight="1" spans="1:32">
      <c r="A151" s="144"/>
      <c r="B151" s="144"/>
      <c r="C151" s="144"/>
      <c r="D151" s="144"/>
      <c r="E151" s="144"/>
      <c r="F151" s="145"/>
      <c r="G151" s="145"/>
      <c r="H151" s="146"/>
      <c r="I151" s="146"/>
      <c r="J151" s="144"/>
      <c r="K151" s="145"/>
      <c r="L151" s="144"/>
      <c r="M151" s="144"/>
      <c r="N151" s="144"/>
      <c r="O151" s="154"/>
      <c r="P151" s="154"/>
      <c r="Q151" s="154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 s="10" customFormat="1" ht="16.5" customHeight="1" spans="1:32">
      <c r="A152" s="144"/>
      <c r="B152" s="144" t="s">
        <v>365</v>
      </c>
      <c r="C152" s="144" t="s">
        <v>194</v>
      </c>
      <c r="D152" s="144"/>
      <c r="E152" s="144"/>
      <c r="F152" s="145">
        <f>E152/2500</f>
        <v>0</v>
      </c>
      <c r="G152" s="145"/>
      <c r="H152" s="146" t="s">
        <v>195</v>
      </c>
      <c r="I152" s="146" t="s">
        <v>366</v>
      </c>
      <c r="J152" s="144"/>
      <c r="K152" s="145">
        <f>J152/400</f>
        <v>0</v>
      </c>
      <c r="L152" s="144"/>
      <c r="M152" s="144"/>
      <c r="N152" s="14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 s="10" customFormat="1" ht="16.5" customHeight="1" spans="1:32">
      <c r="A153" s="144"/>
      <c r="B153" s="144"/>
      <c r="C153" s="144"/>
      <c r="D153" s="144"/>
      <c r="E153" s="144"/>
      <c r="F153" s="145"/>
      <c r="G153" s="145"/>
      <c r="H153" s="146"/>
      <c r="I153" s="146"/>
      <c r="J153" s="144"/>
      <c r="K153" s="145"/>
      <c r="L153" s="144"/>
      <c r="M153" s="144"/>
      <c r="N153" s="14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 s="10" customFormat="1" ht="16.5" customHeight="1" spans="1:32">
      <c r="A154" s="144"/>
      <c r="B154" s="144"/>
      <c r="C154" s="144"/>
      <c r="D154" s="144"/>
      <c r="E154" s="144"/>
      <c r="F154" s="145"/>
      <c r="G154" s="145"/>
      <c r="H154" s="146"/>
      <c r="I154" s="146"/>
      <c r="J154" s="144"/>
      <c r="K154" s="145"/>
      <c r="L154" s="144"/>
      <c r="M154" s="144"/>
      <c r="N154" s="144"/>
      <c r="O154" s="154"/>
      <c r="P154" s="154"/>
      <c r="Q154" s="154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 s="10" customFormat="1" ht="16.5" customHeight="1" spans="1:32">
      <c r="A155" s="144"/>
      <c r="B155" s="144"/>
      <c r="C155" s="144"/>
      <c r="D155" s="144"/>
      <c r="E155" s="144"/>
      <c r="F155" s="145"/>
      <c r="G155" s="145"/>
      <c r="H155" s="146"/>
      <c r="I155" s="146"/>
      <c r="J155" s="144"/>
      <c r="K155" s="145"/>
      <c r="L155" s="144"/>
      <c r="M155" s="144"/>
      <c r="N155" s="144"/>
      <c r="O155" s="154"/>
      <c r="P155" s="154"/>
      <c r="Q155" s="154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 s="10" customFormat="1" ht="16.5" customHeight="1" spans="1:32">
      <c r="A156" s="144"/>
      <c r="B156" s="144"/>
      <c r="C156" s="144"/>
      <c r="D156" s="144"/>
      <c r="E156" s="144"/>
      <c r="F156" s="145"/>
      <c r="G156" s="145"/>
      <c r="H156" s="146"/>
      <c r="I156" s="146"/>
      <c r="J156" s="144"/>
      <c r="K156" s="145"/>
      <c r="L156" s="144"/>
      <c r="M156" s="144"/>
      <c r="N156" s="144"/>
      <c r="O156" s="154"/>
      <c r="P156" s="154"/>
      <c r="Q156" s="154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</sheetData>
  <protectedRanges>
    <protectedRange sqref="D69:D156" name="数据1_1_1_3_1_1_1_1"/>
    <protectedRange sqref="AA69:AA136" name="数据2_1_1_2_1_1_1_1_1_1_1_1_3_2_2_3_4_2_1_4_1"/>
    <protectedRange sqref="AC103:AD136" name="数据2_1_1_1_1_1_1_1_1_2_1_2_1_1_3_1_4_2_1_3_1_1"/>
    <protectedRange sqref="M69:N156" name="数据1_2_1_1_1_1_1"/>
    <protectedRange sqref="H69:H156" name="数据1_1_1_4_1_1_1_1_1_1"/>
    <protectedRange sqref="J137:J156" name="数据1_2_1_2_1_1"/>
    <protectedRange sqref="R77:R136" name="数据1_1_1_5_1_1_1_2"/>
    <protectedRange sqref="AC69:AD102" name="数据2_1_1_1_1_1_1_1_1_1_5_1_1_1_1_1_1_1_4_2_1_3_1"/>
    <protectedRange sqref="E69:E156" name="数据1_1_1_4_1_1_1"/>
    <protectedRange sqref="Q69:Q136" name="数据1_1_1_1_1_1_1_2_1"/>
    <protectedRange sqref="H69:H156" name="数据1_1_1_4_1_1_1_1_1_1_1"/>
    <protectedRange sqref="AA69:AA136" name="数据2_1_1_2_1_1_1_1_1_1_1_1_3_2_2_3_4_2_1_4"/>
    <protectedRange sqref="J137:J156" name="数据1_2_1_2_1_1_1"/>
    <protectedRange sqref="R69:R76" name="数据1_1_1_6_1_1_2"/>
    <protectedRange sqref="R77:R136" name="数据1_1_1_5_1_1_1_2_1"/>
    <protectedRange sqref="AC103:AD136" name="数据2_1_1_1_1_1_1_1_1_2_1_2_1_1_3_1_4_2_1_3_1"/>
    <protectedRange sqref="AC69:AD102" name="数据2_1_1_1_1_1_1_1_1_1_5_1_1_1_1_1_1_1_4_2_1_3_1_1"/>
    <protectedRange sqref="D69:D156" name="数据1_1_1_3_1_1_1_1_1"/>
    <protectedRange sqref="E69:E156" name="数据1_1_1_4_1_1_1_1"/>
    <protectedRange sqref="M69:N156" name="数据1_2_1_1_1_1"/>
    <protectedRange sqref="Q69:Q136" name="数据1_1_1_1_1_1_1_2_1_1"/>
    <protectedRange sqref="U69:U136" name="数据1_1_1_6_1_1_3"/>
  </protectedRanges>
  <mergeCells count="662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C49:N49"/>
    <mergeCell ref="P49:AA49"/>
    <mergeCell ref="E50:F50"/>
    <mergeCell ref="G50:H50"/>
    <mergeCell ref="I50:J50"/>
    <mergeCell ref="K50:L50"/>
    <mergeCell ref="R50:S50"/>
    <mergeCell ref="T50:U50"/>
    <mergeCell ref="V50:W50"/>
    <mergeCell ref="X50:Y50"/>
    <mergeCell ref="D51:N51"/>
    <mergeCell ref="Q51:AA51"/>
    <mergeCell ref="A52:B52"/>
    <mergeCell ref="C52:AE52"/>
    <mergeCell ref="A53:B53"/>
    <mergeCell ref="C53:AE53"/>
    <mergeCell ref="A54:B54"/>
    <mergeCell ref="C54:AE54"/>
    <mergeCell ref="A55:B55"/>
    <mergeCell ref="C55:AE55"/>
    <mergeCell ref="A56:AE56"/>
    <mergeCell ref="A57:L57"/>
    <mergeCell ref="O57:Z57"/>
    <mergeCell ref="AD57:AE57"/>
    <mergeCell ref="A58:B58"/>
    <mergeCell ref="C58:D58"/>
    <mergeCell ref="E58:F58"/>
    <mergeCell ref="G58:H58"/>
    <mergeCell ref="I58:J58"/>
    <mergeCell ref="K58:L58"/>
    <mergeCell ref="O58:Q58"/>
    <mergeCell ref="R58:U58"/>
    <mergeCell ref="V58:X58"/>
    <mergeCell ref="Y58:Z58"/>
    <mergeCell ref="A59:B59"/>
    <mergeCell ref="C59:D59"/>
    <mergeCell ref="E59:F59"/>
    <mergeCell ref="G59:H59"/>
    <mergeCell ref="I59:J59"/>
    <mergeCell ref="K59:L59"/>
    <mergeCell ref="A60:B60"/>
    <mergeCell ref="C60:D60"/>
    <mergeCell ref="E60:F60"/>
    <mergeCell ref="G60:H60"/>
    <mergeCell ref="I60:J60"/>
    <mergeCell ref="K60:L60"/>
    <mergeCell ref="AB60:AE60"/>
    <mergeCell ref="C61:D61"/>
    <mergeCell ref="E61:F61"/>
    <mergeCell ref="G61:H61"/>
    <mergeCell ref="I61:J61"/>
    <mergeCell ref="K61:L61"/>
    <mergeCell ref="O61:R61"/>
    <mergeCell ref="S61:U61"/>
    <mergeCell ref="V61:Z61"/>
    <mergeCell ref="AD61:AE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4:B64"/>
    <mergeCell ref="C64:D64"/>
    <mergeCell ref="E64:F64"/>
    <mergeCell ref="G64:H64"/>
    <mergeCell ref="I64:J64"/>
    <mergeCell ref="K64:L64"/>
    <mergeCell ref="A65:B65"/>
    <mergeCell ref="C65:D65"/>
    <mergeCell ref="E65:F65"/>
    <mergeCell ref="G65:H65"/>
    <mergeCell ref="I65:J65"/>
    <mergeCell ref="K65:L65"/>
    <mergeCell ref="A67:AE67"/>
    <mergeCell ref="F68:G68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A4:A5"/>
    <mergeCell ref="A69:A78"/>
    <mergeCell ref="A79:A88"/>
    <mergeCell ref="A89:A102"/>
    <mergeCell ref="A103:A116"/>
    <mergeCell ref="A117:A126"/>
    <mergeCell ref="A127:A136"/>
    <mergeCell ref="A137:A146"/>
    <mergeCell ref="A147:A156"/>
    <mergeCell ref="B69:B73"/>
    <mergeCell ref="B74:B78"/>
    <mergeCell ref="B79:B83"/>
    <mergeCell ref="B84:B88"/>
    <mergeCell ref="B89:B95"/>
    <mergeCell ref="B96:B102"/>
    <mergeCell ref="B103:B109"/>
    <mergeCell ref="B110:B116"/>
    <mergeCell ref="B117:B121"/>
    <mergeCell ref="B122:B126"/>
    <mergeCell ref="B127:B131"/>
    <mergeCell ref="B132:B136"/>
    <mergeCell ref="B137:B141"/>
    <mergeCell ref="B142:B146"/>
    <mergeCell ref="B147:B151"/>
    <mergeCell ref="B152:B156"/>
    <mergeCell ref="C26:C27"/>
    <mergeCell ref="C36:C37"/>
    <mergeCell ref="C69:C73"/>
    <mergeCell ref="C74:C78"/>
    <mergeCell ref="C79:C83"/>
    <mergeCell ref="C84:C88"/>
    <mergeCell ref="C89:C95"/>
    <mergeCell ref="C96:C102"/>
    <mergeCell ref="C103:C109"/>
    <mergeCell ref="C110:C116"/>
    <mergeCell ref="C117:C121"/>
    <mergeCell ref="C122:C126"/>
    <mergeCell ref="C127:C131"/>
    <mergeCell ref="C132:C136"/>
    <mergeCell ref="C137:C141"/>
    <mergeCell ref="C142:C146"/>
    <mergeCell ref="C147:C151"/>
    <mergeCell ref="C152:C156"/>
    <mergeCell ref="D26:D27"/>
    <mergeCell ref="D36:D37"/>
    <mergeCell ref="D69:D73"/>
    <mergeCell ref="D74:D78"/>
    <mergeCell ref="D79:D83"/>
    <mergeCell ref="D84:D88"/>
    <mergeCell ref="D89:D95"/>
    <mergeCell ref="D96:D102"/>
    <mergeCell ref="D103:D109"/>
    <mergeCell ref="D110:D116"/>
    <mergeCell ref="D117:D121"/>
    <mergeCell ref="D122:D126"/>
    <mergeCell ref="D127:D131"/>
    <mergeCell ref="D132:D136"/>
    <mergeCell ref="D137:D141"/>
    <mergeCell ref="D142:D146"/>
    <mergeCell ref="D147:D151"/>
    <mergeCell ref="D152:D156"/>
    <mergeCell ref="E26:E27"/>
    <mergeCell ref="E36:E37"/>
    <mergeCell ref="E69:E73"/>
    <mergeCell ref="E74:E78"/>
    <mergeCell ref="E79:E83"/>
    <mergeCell ref="E84:E88"/>
    <mergeCell ref="E89:E95"/>
    <mergeCell ref="E96:E102"/>
    <mergeCell ref="E103:E109"/>
    <mergeCell ref="E110:E116"/>
    <mergeCell ref="E117:E121"/>
    <mergeCell ref="E122:E126"/>
    <mergeCell ref="E127:E131"/>
    <mergeCell ref="E132:E136"/>
    <mergeCell ref="E137:E141"/>
    <mergeCell ref="E142:E146"/>
    <mergeCell ref="E147:E151"/>
    <mergeCell ref="E152:E156"/>
    <mergeCell ref="H26:H27"/>
    <mergeCell ref="H36:H37"/>
    <mergeCell ref="H69:H73"/>
    <mergeCell ref="H74:H78"/>
    <mergeCell ref="H79:H83"/>
    <mergeCell ref="H84:H88"/>
    <mergeCell ref="H89:H95"/>
    <mergeCell ref="H96:H102"/>
    <mergeCell ref="H103:H109"/>
    <mergeCell ref="H110:H116"/>
    <mergeCell ref="H117:H121"/>
    <mergeCell ref="H122:H126"/>
    <mergeCell ref="H127:H131"/>
    <mergeCell ref="H132:H136"/>
    <mergeCell ref="H137:H141"/>
    <mergeCell ref="H142:H146"/>
    <mergeCell ref="H147:H151"/>
    <mergeCell ref="H152:H156"/>
    <mergeCell ref="I26:I27"/>
    <mergeCell ref="I36:I37"/>
    <mergeCell ref="I69:I78"/>
    <mergeCell ref="I79:I88"/>
    <mergeCell ref="I89:I102"/>
    <mergeCell ref="I103:I116"/>
    <mergeCell ref="I117:I126"/>
    <mergeCell ref="I127:I136"/>
    <mergeCell ref="I137:I141"/>
    <mergeCell ref="I142:I146"/>
    <mergeCell ref="I147:I151"/>
    <mergeCell ref="I152:I156"/>
    <mergeCell ref="J26:J27"/>
    <mergeCell ref="J36:J37"/>
    <mergeCell ref="J69:J78"/>
    <mergeCell ref="J79:J88"/>
    <mergeCell ref="J89:J102"/>
    <mergeCell ref="J103:J116"/>
    <mergeCell ref="J117:J126"/>
    <mergeCell ref="J127:J136"/>
    <mergeCell ref="J137:J141"/>
    <mergeCell ref="J142:J146"/>
    <mergeCell ref="J147:J151"/>
    <mergeCell ref="J152:J156"/>
    <mergeCell ref="K26:K27"/>
    <mergeCell ref="K36:K37"/>
    <mergeCell ref="K69:K78"/>
    <mergeCell ref="K79:K88"/>
    <mergeCell ref="K89:K102"/>
    <mergeCell ref="K103:K116"/>
    <mergeCell ref="K117:K126"/>
    <mergeCell ref="K127:K136"/>
    <mergeCell ref="K137:K141"/>
    <mergeCell ref="K142:K146"/>
    <mergeCell ref="K147:K151"/>
    <mergeCell ref="K152:K156"/>
    <mergeCell ref="L26:L27"/>
    <mergeCell ref="L36:L37"/>
    <mergeCell ref="L69:L78"/>
    <mergeCell ref="L79:L88"/>
    <mergeCell ref="L89:L102"/>
    <mergeCell ref="L103:L116"/>
    <mergeCell ref="L117:L126"/>
    <mergeCell ref="L127:L136"/>
    <mergeCell ref="L137:L146"/>
    <mergeCell ref="L147:L156"/>
    <mergeCell ref="M26:M27"/>
    <mergeCell ref="M36:M37"/>
    <mergeCell ref="M69:M78"/>
    <mergeCell ref="M79:M88"/>
    <mergeCell ref="M89:M102"/>
    <mergeCell ref="M103:M116"/>
    <mergeCell ref="M117:M126"/>
    <mergeCell ref="M127:M136"/>
    <mergeCell ref="M137:M141"/>
    <mergeCell ref="M142:M146"/>
    <mergeCell ref="M147:M151"/>
    <mergeCell ref="M152:M156"/>
    <mergeCell ref="N26:N27"/>
    <mergeCell ref="N36:N37"/>
    <mergeCell ref="N69:N78"/>
    <mergeCell ref="N79:N88"/>
    <mergeCell ref="N89:N102"/>
    <mergeCell ref="N103:N116"/>
    <mergeCell ref="N117:N126"/>
    <mergeCell ref="N127:N136"/>
    <mergeCell ref="N137:N141"/>
    <mergeCell ref="N142:N146"/>
    <mergeCell ref="N147:N151"/>
    <mergeCell ref="N152:N156"/>
    <mergeCell ref="O11:O15"/>
    <mergeCell ref="O21:O42"/>
    <mergeCell ref="O44:O51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9:W78"/>
    <mergeCell ref="W79:W88"/>
    <mergeCell ref="W89:W102"/>
    <mergeCell ref="W103:W116"/>
    <mergeCell ref="W117:W126"/>
    <mergeCell ref="W127:W136"/>
    <mergeCell ref="X26:X27"/>
    <mergeCell ref="X36:X37"/>
    <mergeCell ref="X69:X78"/>
    <mergeCell ref="X79:X88"/>
    <mergeCell ref="X89:X102"/>
    <mergeCell ref="X103:X116"/>
    <mergeCell ref="X117:X126"/>
    <mergeCell ref="X127:X136"/>
    <mergeCell ref="Y26:Y27"/>
    <mergeCell ref="Y36:Y37"/>
    <mergeCell ref="Y69:Y78"/>
    <mergeCell ref="Y79:Y88"/>
    <mergeCell ref="Y89:Y102"/>
    <mergeCell ref="Y103:Y116"/>
    <mergeCell ref="Y117:Y126"/>
    <mergeCell ref="Y127:Y136"/>
    <mergeCell ref="Z26:Z27"/>
    <mergeCell ref="Z36:Z37"/>
    <mergeCell ref="Z69:Z78"/>
    <mergeCell ref="Z79:Z88"/>
    <mergeCell ref="Z89:Z102"/>
    <mergeCell ref="Z103:Z116"/>
    <mergeCell ref="Z117:Z126"/>
    <mergeCell ref="Z127:Z136"/>
    <mergeCell ref="AA26:AA27"/>
    <mergeCell ref="AA36:AA37"/>
    <mergeCell ref="AA69:AA78"/>
    <mergeCell ref="AA79:AA88"/>
    <mergeCell ref="AA89:AA102"/>
    <mergeCell ref="AA103:AA116"/>
    <mergeCell ref="AA117:AA126"/>
    <mergeCell ref="AA127:AA136"/>
    <mergeCell ref="AB22:AB23"/>
    <mergeCell ref="AB26:AB27"/>
    <mergeCell ref="AB58:AB59"/>
    <mergeCell ref="AB62:AB63"/>
    <mergeCell ref="AB69:AB78"/>
    <mergeCell ref="AB79:AB88"/>
    <mergeCell ref="AB89:AB102"/>
    <mergeCell ref="AB103:AB116"/>
    <mergeCell ref="AB117:AB126"/>
    <mergeCell ref="AB127:AB136"/>
    <mergeCell ref="AC58:AC59"/>
    <mergeCell ref="AC62:AC63"/>
    <mergeCell ref="AC69:AC78"/>
    <mergeCell ref="AC79:AC88"/>
    <mergeCell ref="AC89:AC102"/>
    <mergeCell ref="AC103:AC116"/>
    <mergeCell ref="AC117:AC126"/>
    <mergeCell ref="AC127:AC136"/>
    <mergeCell ref="AD69:AD78"/>
    <mergeCell ref="AD79:AD88"/>
    <mergeCell ref="AD89:AD102"/>
    <mergeCell ref="AD103:AD116"/>
    <mergeCell ref="AD117:AD126"/>
    <mergeCell ref="AD127:AD136"/>
    <mergeCell ref="AE69:AE71"/>
    <mergeCell ref="AE72:AE73"/>
    <mergeCell ref="AE74:AE76"/>
    <mergeCell ref="AE77:AE78"/>
    <mergeCell ref="AE79:AE81"/>
    <mergeCell ref="AE82:AE83"/>
    <mergeCell ref="AE84:AE86"/>
    <mergeCell ref="AE87:AE88"/>
    <mergeCell ref="AE89:AE92"/>
    <mergeCell ref="AE93:AE95"/>
    <mergeCell ref="AE96:AE99"/>
    <mergeCell ref="AE100:AE102"/>
    <mergeCell ref="AE103:AE106"/>
    <mergeCell ref="AE107:AE109"/>
    <mergeCell ref="AE110:AE113"/>
    <mergeCell ref="AE114:AE116"/>
    <mergeCell ref="AE117:AE119"/>
    <mergeCell ref="AE120:AE121"/>
    <mergeCell ref="AE122:AE124"/>
    <mergeCell ref="AE125:AE126"/>
    <mergeCell ref="AE127:AE129"/>
    <mergeCell ref="AE130:AE131"/>
    <mergeCell ref="AE132:AE134"/>
    <mergeCell ref="AE135:AE136"/>
    <mergeCell ref="AC26:AE27"/>
    <mergeCell ref="A11:B18"/>
    <mergeCell ref="AB36:AC37"/>
    <mergeCell ref="AD36:AE37"/>
    <mergeCell ref="AB30:AE32"/>
    <mergeCell ref="P12:R14"/>
    <mergeCell ref="V62:Z63"/>
    <mergeCell ref="Y59:Z60"/>
    <mergeCell ref="AD58:AE59"/>
    <mergeCell ref="V59:X60"/>
    <mergeCell ref="S62:U63"/>
    <mergeCell ref="O62:R63"/>
    <mergeCell ref="O59:Q60"/>
    <mergeCell ref="A20:B51"/>
    <mergeCell ref="AD62:AE63"/>
    <mergeCell ref="R59:U60"/>
    <mergeCell ref="F69:G73"/>
    <mergeCell ref="F74:G78"/>
    <mergeCell ref="F79:G83"/>
    <mergeCell ref="F84:G88"/>
    <mergeCell ref="F89:G95"/>
    <mergeCell ref="F96:G102"/>
    <mergeCell ref="F103:G109"/>
    <mergeCell ref="F110:G116"/>
    <mergeCell ref="F117:G121"/>
    <mergeCell ref="F122:G126"/>
    <mergeCell ref="F127:G131"/>
    <mergeCell ref="F132:G136"/>
    <mergeCell ref="F137:G141"/>
    <mergeCell ref="F142:G146"/>
    <mergeCell ref="F147:G151"/>
    <mergeCell ref="F152:G156"/>
  </mergeCells>
  <conditionalFormatting sqref="AD58">
    <cfRule type="dataBar" priority="376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{95fc9201-06fe-4f11-9661-a8b0a3cadc22}</x14:id>
        </ext>
      </extLst>
    </cfRule>
    <cfRule type="dataBar" priority="376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{694aa617-c5ee-4c08-854e-3b8fa928d74c}</x14:id>
        </ext>
      </extLst>
    </cfRule>
    <cfRule type="dataBar" priority="376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{348f70ea-5a34-47b4-83aa-c924dd5dd135}</x14:id>
        </ext>
      </extLst>
    </cfRule>
    <cfRule type="dataBar" priority="376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{228fefb1-fb1c-4e7d-8bb8-744905e05f77}</x14:id>
        </ext>
      </extLst>
    </cfRule>
    <cfRule type="dataBar" priority="376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{6925e53b-fa63-4ce8-8851-49ad3d1a5949}</x14:id>
        </ext>
      </extLst>
    </cfRule>
    <cfRule type="dataBar" priority="376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{ecb29fc4-5b48-4c28-a973-729f594c8de5}</x14:id>
        </ext>
      </extLst>
    </cfRule>
    <cfRule type="dataBar" priority="377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{a4c1f7a3-b166-4740-8d08-b9f5345ec19c}</x14:id>
        </ext>
      </extLst>
    </cfRule>
    <cfRule type="dataBar" priority="377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{d206e897-104a-4513-abff-f0acce1025c8}</x14:id>
        </ext>
      </extLst>
    </cfRule>
  </conditionalFormatting>
  <conditionalFormatting sqref="K62">
    <cfRule type="dataBar" priority="37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{6f31985e-3c1b-436c-af8c-01ba924c9ab0}</x14:id>
        </ext>
      </extLst>
    </cfRule>
    <cfRule type="dataBar" priority="3732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{c367b33e-de62-4aa3-9d4d-1194922b3534}</x14:id>
        </ext>
      </extLst>
    </cfRule>
    <cfRule type="dataBar" priority="3733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{92e8d81b-bf04-42d5-b77e-f76d6af8aa9e}</x14:id>
        </ext>
      </extLst>
    </cfRule>
    <cfRule type="dataBar" priority="3734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{5eb768d9-3c90-4977-9b38-b4c3728c5239}</x14:id>
        </ext>
      </extLst>
    </cfRule>
    <cfRule type="dataBar" priority="3735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{bb0ec098-3d01-42bf-ae8c-cb476fd0c935}</x14:id>
        </ext>
      </extLst>
    </cfRule>
    <cfRule type="dataBar" priority="3736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{bfdc8412-5b81-4050-9a49-ae116f5b98eb}</x14:id>
        </ext>
      </extLst>
    </cfRule>
    <cfRule type="dataBar" priority="3737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{786d20d1-44d9-426f-a86c-e513aa02d002}</x14:id>
        </ext>
      </extLst>
    </cfRule>
    <cfRule type="dataBar" priority="3738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{aed3bf74-3834-4a3d-ac5b-ac85c1ec4d12}</x14:id>
        </ext>
      </extLst>
    </cfRule>
  </conditionalFormatting>
  <conditionalFormatting sqref="AD62">
    <cfRule type="dataBar" priority="375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{eff089b4-8f2e-40ce-809f-37e2eefe47bd}</x14:id>
        </ext>
      </extLst>
    </cfRule>
    <cfRule type="dataBar" priority="375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{a9639dbf-6813-4038-9a1d-ba03be45b1d1}</x14:id>
        </ext>
      </extLst>
    </cfRule>
    <cfRule type="dataBar" priority="375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{0497d441-cd0b-4dc7-94f0-48c128bbd045}</x14:id>
        </ext>
      </extLst>
    </cfRule>
    <cfRule type="dataBar" priority="375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{0d8dc26e-4cd4-409b-b0f3-17f37978b019}</x14:id>
        </ext>
      </extLst>
    </cfRule>
    <cfRule type="dataBar" priority="375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{f8477233-8b62-480b-b933-c7513dc4d359}</x14:id>
        </ext>
      </extLst>
    </cfRule>
    <cfRule type="dataBar" priority="375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{9d3b67df-0f28-4af1-aa8b-cdc3f0430085}</x14:id>
        </ext>
      </extLst>
    </cfRule>
    <cfRule type="dataBar" priority="375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{2b1054ad-a1d5-4fba-80af-fe4cd9cf95f2}</x14:id>
        </ext>
      </extLst>
    </cfRule>
    <cfRule type="dataBar" priority="376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{9b73bd73-52cb-4696-9671-f748dd956215}</x14:id>
        </ext>
      </extLst>
    </cfRule>
  </conditionalFormatting>
  <conditionalFormatting sqref="K63">
    <cfRule type="dataBar" priority="37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{32cc81c0-a0a9-4ee7-8764-01969bfb7053}</x14:id>
        </ext>
      </extLst>
    </cfRule>
    <cfRule type="dataBar" priority="3721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{8799a15d-c0cc-4807-b458-a5143074ddb1}</x14:id>
        </ext>
      </extLst>
    </cfRule>
    <cfRule type="dataBar" priority="3722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{aa1c943b-39e1-4d37-a139-3ee6023987dd}</x14:id>
        </ext>
      </extLst>
    </cfRule>
    <cfRule type="dataBar" priority="3723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{bb4794af-55ef-4769-aacd-a007dc1b9317}</x14:id>
        </ext>
      </extLst>
    </cfRule>
    <cfRule type="dataBar" priority="3724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{ba6cc759-24bd-4c20-a20b-3193edc9d29e}</x14:id>
        </ext>
      </extLst>
    </cfRule>
    <cfRule type="dataBar" priority="3725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{bd02d4c0-a31e-4880-81ac-1e557686bff7}</x14:id>
        </ext>
      </extLst>
    </cfRule>
    <cfRule type="dataBar" priority="3726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{66ce2917-620f-43a3-a732-12ee9991e56d}</x14:id>
        </ext>
      </extLst>
    </cfRule>
    <cfRule type="dataBar" priority="3727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{adb50e3c-f6ae-4b7c-a6eb-301d5cb21eb1}</x14:id>
        </ext>
      </extLst>
    </cfRule>
  </conditionalFormatting>
  <conditionalFormatting sqref="K64">
    <cfRule type="dataBar" priority="370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{d8f33d55-cab7-4966-9b4f-11c6cf30ce54}</x14:id>
        </ext>
      </extLst>
    </cfRule>
    <cfRule type="dataBar" priority="37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{093fa95d-7ea1-499b-aa4c-8d4552a6f854}</x14:id>
        </ext>
      </extLst>
    </cfRule>
    <cfRule type="dataBar" priority="37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{ae009b05-b3cc-45c6-aecc-6806d6a3d632}</x14:id>
        </ext>
      </extLst>
    </cfRule>
    <cfRule type="dataBar" priority="37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{794aa47d-a3a8-46cf-a6ec-6fca7b180787}</x14:id>
        </ext>
      </extLst>
    </cfRule>
    <cfRule type="dataBar" priority="37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{34f3ae4b-9790-4e4a-af48-ca27ba3c5edc}</x14:id>
        </ext>
      </extLst>
    </cfRule>
    <cfRule type="dataBar" priority="37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{24024d23-8b0b-4e55-ba27-b664bbb1bf49}</x14:id>
        </ext>
      </extLst>
    </cfRule>
    <cfRule type="dataBar" priority="37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{25248efa-4a5e-46e7-b9f0-5480c4f3ba55}</x14:id>
        </ext>
      </extLst>
    </cfRule>
    <cfRule type="dataBar" priority="37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{a4ee10a4-15a0-45f2-8d78-986b10cad2b3}</x14:id>
        </ext>
      </extLst>
    </cfRule>
  </conditionalFormatting>
  <conditionalFormatting sqref="K65">
    <cfRule type="dataBar" priority="369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{36b79758-d424-4c7c-8b62-b6a77c5639fe}</x14:id>
        </ext>
      </extLst>
    </cfRule>
    <cfRule type="dataBar" priority="369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{c3eda83d-de89-4886-afc6-26584bc41560}</x14:id>
        </ext>
      </extLst>
    </cfRule>
    <cfRule type="dataBar" priority="370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{df185500-f7bc-44b0-a1d3-839fdb4edbe0}</x14:id>
        </ext>
      </extLst>
    </cfRule>
    <cfRule type="dataBar" priority="370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{bb695873-6942-45f5-bae3-26e29662c8d4}</x14:id>
        </ext>
      </extLst>
    </cfRule>
    <cfRule type="dataBar" priority="370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{7881e003-60eb-423f-b6c0-7247349336df}</x14:id>
        </ext>
      </extLst>
    </cfRule>
    <cfRule type="dataBar" priority="370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{9c82c54a-dcb9-4291-b61e-3cec658f4612}</x14:id>
        </ext>
      </extLst>
    </cfRule>
    <cfRule type="dataBar" priority="370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{349a1dab-127c-42c2-92ea-16837ff9eb07}</x14:id>
        </ext>
      </extLst>
    </cfRule>
    <cfRule type="dataBar" priority="370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{3c413e53-0d71-4e10-a9e4-b410c22b6cd9}</x14:id>
        </ext>
      </extLst>
    </cfRule>
  </conditionalFormatting>
  <conditionalFormatting sqref="AB69">
    <cfRule type="dataBar" priority="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{ef233290-8246-4ec6-8cda-1a218572b949}</x14:id>
        </ext>
      </extLst>
    </cfRule>
    <cfRule type="dataBar" priority="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{8f0208a7-46a3-4db3-9ff7-e28f93388360}</x14:id>
        </ext>
      </extLst>
    </cfRule>
    <cfRule type="dataBar" priority="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{300022d1-cef6-4094-9687-095ed68ab3f8}</x14:id>
        </ext>
      </extLst>
    </cfRule>
  </conditionalFormatting>
  <conditionalFormatting sqref="AB103">
    <cfRule type="dataBar" priority="1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{d1db28dd-edcd-47f0-a7c1-b4e614a46ea7}</x14:id>
        </ext>
      </extLst>
    </cfRule>
    <cfRule type="dataBar" priority="1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{1665de81-b3d2-4490-822b-07eea518d43f}</x14:id>
        </ext>
      </extLst>
    </cfRule>
    <cfRule type="dataBar" priority="1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{f0bcc344-c6c7-45de-82e0-60b4c5e1d231}</x14:id>
        </ext>
      </extLst>
    </cfRule>
  </conditionalFormatting>
  <conditionalFormatting sqref="AB117">
    <cfRule type="dataBar" priority="1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{b0eead19-6dd5-45ee-ae32-eafe2425cbbb}</x14:id>
        </ext>
      </extLst>
    </cfRule>
    <cfRule type="dataBar" priority="1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{2b3d9000-8d8c-4ec8-8675-4b6bd89162e5}</x14:id>
        </ext>
      </extLst>
    </cfRule>
  </conditionalFormatting>
  <conditionalFormatting sqref="AB127">
    <cfRule type="dataBar" priority="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{4b01864b-c52e-45b4-a8e3-2436ba997e54}</x14:id>
        </ext>
      </extLst>
    </cfRule>
    <cfRule type="dataBar" priority="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{9cd56678-6b38-4b3b-b05e-6c934f380c14}</x14:id>
        </ext>
      </extLst>
    </cfRule>
    <cfRule type="dataBar" priority="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{751f2d08-6eea-4ff5-96ee-82e6467dccae}</x14:id>
        </ext>
      </extLst>
    </cfRule>
  </conditionalFormatting>
  <conditionalFormatting sqref="K137">
    <cfRule type="dataBar" priority="2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{930b7479-94cb-4d87-9d40-3eb7625d5cd8}</x14:id>
        </ext>
      </extLst>
    </cfRule>
    <cfRule type="dataBar" priority="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{e49b4dce-6156-4a95-96b1-19ba268e5c19}</x14:id>
        </ext>
      </extLst>
    </cfRule>
    <cfRule type="dataBar" priority="31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{e4a3a780-02e1-4570-b29b-ca7c3fcad664}</x14:id>
        </ext>
      </extLst>
    </cfRule>
  </conditionalFormatting>
  <conditionalFormatting sqref="K142">
    <cfRule type="dataBar" priority="3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{3bbb6730-4790-45a9-b856-1857a27b1be7}</x14:id>
        </ext>
      </extLst>
    </cfRule>
    <cfRule type="dataBar" priority="3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{e8f413f3-26be-4a24-bb64-2d53b70958c7}</x14:id>
        </ext>
      </extLst>
    </cfRule>
    <cfRule type="dataBar" priority="34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{57a5fc59-29aa-4595-8b39-34815b5e407a}</x14:id>
        </ext>
      </extLst>
    </cfRule>
  </conditionalFormatting>
  <conditionalFormatting sqref="K147">
    <cfRule type="dataBar" priority="2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{6c00a001-b025-4281-8842-a12669763b0f}</x14:id>
        </ext>
      </extLst>
    </cfRule>
    <cfRule type="dataBar" priority="2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{793a1e8f-49d7-4d52-8cbb-7becd8fe20e9}</x14:id>
        </ext>
      </extLst>
    </cfRule>
    <cfRule type="dataBar" priority="28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{dda2f33f-38c8-4578-9979-6de9bad79ad5}</x14:id>
        </ext>
      </extLst>
    </cfRule>
  </conditionalFormatting>
  <conditionalFormatting sqref="K152">
    <cfRule type="dataBar" priority="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{c18fdbd9-e05a-4ea5-996e-b2c5f72539f2}</x14:id>
        </ext>
      </extLst>
    </cfRule>
    <cfRule type="dataBar" priority="2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{05baf66b-4558-4742-8faf-7f7f28b73da6}</x14:id>
        </ext>
      </extLst>
    </cfRule>
    <cfRule type="dataBar" priority="2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{756909b9-2ab0-4860-a388-6c6b61fa1a02}</x14:id>
        </ext>
      </extLst>
    </cfRule>
  </conditionalFormatting>
  <conditionalFormatting sqref="K59:K60">
    <cfRule type="dataBar" priority="37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{86f8293c-9317-4649-9359-4cc5fad92480}</x14:id>
        </ext>
      </extLst>
    </cfRule>
    <cfRule type="dataBar" priority="374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{3f95dd0f-a998-44b4-8b61-7eba6f123fd1}</x14:id>
        </ext>
      </extLst>
    </cfRule>
    <cfRule type="dataBar" priority="374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{88ad5191-4a14-4fd4-85e0-f24ca51de7bc}</x14:id>
        </ext>
      </extLst>
    </cfRule>
    <cfRule type="dataBar" priority="374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{83dae187-283a-48c9-9cc5-5109a406ffd9}</x14:id>
        </ext>
      </extLst>
    </cfRule>
    <cfRule type="dataBar" priority="374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{bd0b0eef-96d7-4917-a619-20b21ca0a4a3}</x14:id>
        </ext>
      </extLst>
    </cfRule>
    <cfRule type="dataBar" priority="374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{03e41982-92da-49bb-80ce-7962d5c4ad42}</x14:id>
        </ext>
      </extLst>
    </cfRule>
    <cfRule type="dataBar" priority="374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{1e875aa6-f22d-48f5-978e-c49e5003f55b}</x14:id>
        </ext>
      </extLst>
    </cfRule>
    <cfRule type="dataBar" priority="374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{f6d22fea-02fc-4edb-a458-fbcb114ef29d}</x14:id>
        </ext>
      </extLst>
    </cfRule>
  </conditionalFormatting>
  <conditionalFormatting sqref="Y69:Y88">
    <cfRule type="dataBar" priority="2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{20267aae-5095-4109-a6f9-9f9274f16546}</x14:id>
        </ext>
      </extLst>
    </cfRule>
    <cfRule type="dataBar" priority="2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{ad17ac9e-88d1-43fe-aaf4-7807489f809c}</x14:id>
        </ext>
      </extLst>
    </cfRule>
  </conditionalFormatting>
  <conditionalFormatting sqref="Y79:Y88">
    <cfRule type="dataBar" priority="2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{57cd3f09-10cf-4aed-97cb-6a4f98a2438c}</x14:id>
        </ext>
      </extLst>
    </cfRule>
  </conditionalFormatting>
  <conditionalFormatting sqref="AB117:AB126">
    <cfRule type="dataBar" priority="1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{b8c304ab-2791-491d-aa6f-4bb2bd77c680}</x14:id>
        </ext>
      </extLst>
    </cfRule>
  </conditionalFormatting>
  <conditionalFormatting sqref="AD58:AE59">
    <cfRule type="dataBar" priority="37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{88262910-ce77-4fbd-832d-7f8b7b5fc9ae}</x14:id>
        </ext>
      </extLst>
    </cfRule>
  </conditionalFormatting>
  <conditionalFormatting sqref="AD62:AE65">
    <cfRule type="dataBar" priority="375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{4f8ae6e5-02b8-42fe-9369-b165701c1ad9}</x14:id>
        </ext>
      </extLst>
    </cfRule>
  </conditionalFormatting>
  <conditionalFormatting sqref="F69 F74 F79 F84">
    <cfRule type="dataBar" priority="4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{bbfea489-604d-4e79-8a83-49417788ddc9}</x14:id>
        </ext>
      </extLst>
    </cfRule>
    <cfRule type="dataBar" priority="4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{ce34aa40-c046-4786-9619-f29ea12945b3}</x14:id>
        </ext>
      </extLst>
    </cfRule>
    <cfRule type="dataBar" priority="4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{6ad12ad1-d875-44a5-a6d0-a5e7fadbcbac}</x14:id>
        </ext>
      </extLst>
    </cfRule>
  </conditionalFormatting>
  <conditionalFormatting sqref="K69 K79 K89 K103">
    <cfRule type="dataBar" priority="3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{4f442e62-c4e1-4f33-b337-8c14914db47c}</x14:id>
        </ext>
      </extLst>
    </cfRule>
    <cfRule type="dataBar" priority="3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{b5cb1a15-ea56-4983-8090-8e4db946d512}</x14:id>
        </ext>
      </extLst>
    </cfRule>
    <cfRule type="dataBar" priority="40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{f9f52792-88b1-4c2d-b674-1b0b8dbd1a73}</x14:id>
        </ext>
      </extLst>
    </cfRule>
  </conditionalFormatting>
  <conditionalFormatting sqref="AB79 AB89">
    <cfRule type="dataBar" priority="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{6865e71f-1372-4678-8cce-e17ab517d11e}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{055ce0b0-4c66-4356-b120-7d0a25b1fc87}</x14:id>
        </ext>
      </extLst>
    </cfRule>
    <cfRule type="dataBar" priority="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{b5f46331-5e10-4cc0-841f-201cf0b486c4}</x14:id>
        </ext>
      </extLst>
    </cfRule>
  </conditionalFormatting>
  <conditionalFormatting sqref="F89 F96 F103 F110">
    <cfRule type="dataBar" priority="4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{c4ea5fcf-2f6a-4ab4-ba06-585fb607d652}</x14:id>
        </ext>
      </extLst>
    </cfRule>
    <cfRule type="dataBar" priority="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{31e9d49c-f6ce-4f49-b477-1a44936a1f6c}</x14:id>
        </ext>
      </extLst>
    </cfRule>
    <cfRule type="dataBar" priority="4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{c8565e67-2050-4b0b-876d-4010e8bcc8d8}</x14:id>
        </ext>
      </extLst>
    </cfRule>
  </conditionalFormatting>
  <conditionalFormatting sqref="Y89 Y103">
    <cfRule type="dataBar" priority="1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{62321936-14a1-4e69-8f10-7ac61b7f30d4}</x14:id>
        </ext>
      </extLst>
    </cfRule>
    <cfRule type="dataBar" priority="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{28f239b0-e3dc-4ef3-bbdf-b844b65ed496}</x14:id>
        </ext>
      </extLst>
    </cfRule>
  </conditionalFormatting>
  <conditionalFormatting sqref="F117 F122 F127 F132 F137 F142 F147 F152">
    <cfRule type="dataBar" priority="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{76a53066-3e04-4276-b800-a8848ec00e6d}</x14:id>
        </ext>
      </extLst>
    </cfRule>
    <cfRule type="dataBar" priority="4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{8cbb2e52-3243-499c-93a4-ec7725742269}</x14:id>
        </ext>
      </extLst>
    </cfRule>
    <cfRule type="dataBar" priority="4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{7bf86626-3680-4e4a-99b3-454ca1e9c002}</x14:id>
        </ext>
      </extLst>
    </cfRule>
  </conditionalFormatting>
  <conditionalFormatting sqref="K117 K127">
    <cfRule type="dataBar" priority="3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{4f4ccb6e-2c73-4c71-88ad-902d85e15fc9}</x14:id>
        </ext>
      </extLst>
    </cfRule>
    <cfRule type="dataBar" priority="3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{0cff5f02-ccd9-4735-a6df-24ed49eefe99}</x14:id>
        </ext>
      </extLst>
    </cfRule>
    <cfRule type="dataBar" priority="37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{bba238ed-154d-48f0-8ad7-cecc98338924}</x14:id>
        </ext>
      </extLst>
    </cfRule>
  </conditionalFormatting>
  <conditionalFormatting sqref="Y117 Y127">
    <cfRule type="dataBar" priority="1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{d3778a82-1e16-4abe-b55e-8bf651109f27}</x14:id>
        </ext>
      </extLst>
    </cfRule>
    <cfRule type="dataBar" priority="1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{76c486da-4f59-40d1-96d6-ff83e1c49f8c}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51">
      <formula1>"A楼,B楼,C楼,D楼,E楼"</formula1>
    </dataValidation>
  </dataValidations>
  <pageMargins left="0.75" right="0.75" top="1" bottom="1" header="0.5" footer="0.5"/>
  <pageSetup paperSize="9" scale="19" orientation="portrait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fc9201-06fe-4f11-9661-a8b0a3cadc2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94aa617-c5ee-4c08-854e-3b8fa928d74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48f70ea-5a34-47b4-83aa-c924dd5dd13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228fefb1-fb1c-4e7d-8bb8-744905e05f7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925e53b-fa63-4ce8-8851-49ad3d1a5949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cb29fc4-5b48-4c28-a973-729f594c8de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a4c1f7a3-b166-4740-8d08-b9f5345ec19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206e897-104a-4513-abff-f0acce1025c8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AD58</xm:sqref>
        </x14:conditionalFormatting>
        <x14:conditionalFormatting xmlns:xm="http://schemas.microsoft.com/office/excel/2006/main">
          <x14:cfRule type="dataBar" id="{6f31985e-3c1b-436c-af8c-01ba924c9ab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367b33e-de62-4aa3-9d4d-1194922b353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2e8d81b-bf04-42d5-b77e-f76d6af8aa9e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5eb768d9-3c90-4977-9b38-b4c3728c523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b0ec098-3d01-42bf-ae8c-cb476fd0c93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fdc8412-5b81-4050-9a49-ae116f5b98e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86d20d1-44d9-426f-a86c-e513aa02d002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ed3bf74-3834-4a3d-ac5b-ac85c1ec4d12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eff089b4-8f2e-40ce-809f-37e2eefe47b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9639dbf-6813-4038-9a1d-ba03be45b1d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497d441-cd0b-4dc7-94f0-48c128bbd04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0d8dc26e-4cd4-409b-b0f3-17f37978b01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f8477233-8b62-480b-b933-c7513dc4d359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9d3b67df-0f28-4af1-aa8b-cdc3f043008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b1054ad-a1d5-4fba-80af-fe4cd9cf95f2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b73bd73-52cb-4696-9671-f748dd956215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AD62</xm:sqref>
        </x14:conditionalFormatting>
        <x14:conditionalFormatting xmlns:xm="http://schemas.microsoft.com/office/excel/2006/main">
          <x14:cfRule type="dataBar" id="{32cc81c0-a0a9-4ee7-8764-01969bfb705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799a15d-c0cc-4807-b458-a5143074ddb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a1c943b-39e1-4d37-a139-3ee6023987dd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bb4794af-55ef-4769-aacd-a007dc1b931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a6cc759-24bd-4c20-a20b-3193edc9d29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d02d4c0-a31e-4880-81ac-1e557686bff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6ce2917-620f-43a3-a732-12ee9991e56d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db50e3c-f6ae-4b7c-a6eb-301d5cb21eb1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d8f33d55-cab7-4966-9b4f-11c6cf30ce5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93fa95d-7ea1-499b-aa4c-8d4552a6f85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e009b05-b3cc-45c6-aecc-6806d6a3d63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794aa47d-a3a8-46cf-a6ec-6fca7b18078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34f3ae4b-9790-4e4a-af48-ca27ba3c5edc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4024d23-8b0b-4e55-ba27-b664bbb1bf4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5248efa-4a5e-46e7-b9f0-5480c4f3ba55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4ee10a4-15a0-45f2-8d78-986b10cad2b3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K64</xm:sqref>
        </x14:conditionalFormatting>
        <x14:conditionalFormatting xmlns:xm="http://schemas.microsoft.com/office/excel/2006/main">
          <x14:cfRule type="dataBar" id="{36b79758-d424-4c7c-8b62-b6a77c5639f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3eda83d-de89-4886-afc6-26584bc4156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f185500-f7bc-44b0-a1d3-839fdb4edbe0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bb695873-6942-45f5-bae3-26e29662c8d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7881e003-60eb-423f-b6c0-7247349336df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9c82c54a-dcb9-4291-b61e-3cec658f461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49a1dab-127c-42c2-92ea-16837ff9eb0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c413e53-0d71-4e10-a9e4-b410c22b6cd9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K65</xm:sqref>
        </x14:conditionalFormatting>
        <x14:conditionalFormatting xmlns:xm="http://schemas.microsoft.com/office/excel/2006/main">
          <x14:cfRule type="dataBar" id="{ef233290-8246-4ec6-8cda-1a218572b94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f0208a7-46a3-4db3-9ff7-e28f9338836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00022d1-cef6-4094-9687-095ed68ab3f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</xm:sqref>
        </x14:conditionalFormatting>
        <x14:conditionalFormatting xmlns:xm="http://schemas.microsoft.com/office/excel/2006/main">
          <x14:cfRule type="dataBar" id="{d1db28dd-edcd-47f0-a7c1-b4e614a46ea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665de81-b3d2-4490-822b-07eea518d43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0bcc344-c6c7-45de-82e0-60b4c5e1d23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AB103</xm:sqref>
        </x14:conditionalFormatting>
        <x14:conditionalFormatting xmlns:xm="http://schemas.microsoft.com/office/excel/2006/main">
          <x14:cfRule type="dataBar" id="{b0eead19-6dd5-45ee-ae32-eafe2425cbb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b3d9000-8d8c-4ec8-8675-4b6bd89162e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AB117</xm:sqref>
        </x14:conditionalFormatting>
        <x14:conditionalFormatting xmlns:xm="http://schemas.microsoft.com/office/excel/2006/main">
          <x14:cfRule type="dataBar" id="{4b01864b-c52e-45b4-a8e3-2436ba997e5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d56678-6b38-4b3b-b05e-6c934f380c1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51f2d08-6eea-4ff5-96ee-82e6467dcca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AB127</xm:sqref>
        </x14:conditionalFormatting>
        <x14:conditionalFormatting xmlns:xm="http://schemas.microsoft.com/office/excel/2006/main">
          <x14:cfRule type="dataBar" id="{930b7479-94cb-4d87-9d40-3eb7625d5cd8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9b4dce-6156-4a95-96b1-19ba268e5c1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4a3a780-02e1-4570-b29b-ca7c3fcad66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K137</xm:sqref>
        </x14:conditionalFormatting>
        <x14:conditionalFormatting xmlns:xm="http://schemas.microsoft.com/office/excel/2006/main">
          <x14:cfRule type="dataBar" id="{3bbb6730-4790-45a9-b856-1857a27b1be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f413f3-26be-4a24-bb64-2d53b70958c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7a5fc59-29aa-4595-8b39-34815b5e407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K142</xm:sqref>
        </x14:conditionalFormatting>
        <x14:conditionalFormatting xmlns:xm="http://schemas.microsoft.com/office/excel/2006/main">
          <x14:cfRule type="dataBar" id="{6c00a001-b025-4281-8842-a12669763b0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3a1e8f-49d7-4d52-8cbb-7becd8fe20e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da2f33f-38c8-4578-9979-6de9bad79ad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K147</xm:sqref>
        </x14:conditionalFormatting>
        <x14:conditionalFormatting xmlns:xm="http://schemas.microsoft.com/office/excel/2006/main">
          <x14:cfRule type="dataBar" id="{c18fdbd9-e05a-4ea5-996e-b2c5f72539f2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baf66b-4558-4742-8faf-7f7f28b73da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56909b9-2ab0-4860-a388-6c6b61fa1a0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K152</xm:sqref>
        </x14:conditionalFormatting>
        <x14:conditionalFormatting xmlns:xm="http://schemas.microsoft.com/office/excel/2006/main">
          <x14:cfRule type="dataBar" id="{86f8293c-9317-4649-9359-4cc5fad9248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f95dd0f-a998-44b4-8b61-7eba6f123fd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8ad5191-4a14-4fd4-85e0-f24ca51de7bc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83dae187-283a-48c9-9cc5-5109a406ffd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d0b0eef-96d7-4917-a619-20b21ca0a4a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3e41982-92da-49bb-80ce-7962d5c4ad4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1e875aa6-f22d-48f5-978e-c49e5003f55b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f6d22fea-02fc-4edb-a458-fbcb114ef29d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K59:K60</xm:sqref>
        </x14:conditionalFormatting>
        <x14:conditionalFormatting xmlns:xm="http://schemas.microsoft.com/office/excel/2006/main">
          <x14:cfRule type="dataBar" id="{20267aae-5095-4109-a6f9-9f9274f1654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17ac9e-88d1-43fe-aaf4-7807489f809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Y69:Y88</xm:sqref>
        </x14:conditionalFormatting>
        <x14:conditionalFormatting xmlns:xm="http://schemas.microsoft.com/office/excel/2006/main">
          <x14:cfRule type="dataBar" id="{57cd3f09-10cf-4aed-97cb-6a4f98a2438c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Y79:Y88</xm:sqref>
        </x14:conditionalFormatting>
        <x14:conditionalFormatting xmlns:xm="http://schemas.microsoft.com/office/excel/2006/main">
          <x14:cfRule type="dataBar" id="{b8c304ab-2791-491d-aa6f-4bb2bd77c68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AB117:AB126</xm:sqref>
        </x14:conditionalFormatting>
        <x14:conditionalFormatting xmlns:xm="http://schemas.microsoft.com/office/excel/2006/main">
          <x14:cfRule type="dataBar" id="{88262910-ce77-4fbd-832d-7f8b7b5fc9a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AD58:AE59</xm:sqref>
        </x14:conditionalFormatting>
        <x14:conditionalFormatting xmlns:xm="http://schemas.microsoft.com/office/excel/2006/main">
          <x14:cfRule type="dataBar" id="{4f8ae6e5-02b8-42fe-9369-b165701c1ad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AD62:AE65</xm:sqref>
        </x14:conditionalFormatting>
        <x14:conditionalFormatting xmlns:xm="http://schemas.microsoft.com/office/excel/2006/main">
          <x14:cfRule type="dataBar" id="{bbfea489-604d-4e79-8a83-49417788ddc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e34aa40-c046-4786-9619-f29ea12945b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ad12ad1-d875-44a5-a6d0-a5e7fadbcba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F69 F74 F79 F84</xm:sqref>
        </x14:conditionalFormatting>
        <x14:conditionalFormatting xmlns:xm="http://schemas.microsoft.com/office/excel/2006/main">
          <x14:cfRule type="dataBar" id="{4f442e62-c4e1-4f33-b337-8c14914db47c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cb1a15-ea56-4983-8090-8e4db946d51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9f52792-88b1-4c2d-b674-1b0b8dbd1a7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K69 K79 K89 K103</xm:sqref>
        </x14:conditionalFormatting>
        <x14:conditionalFormatting xmlns:xm="http://schemas.microsoft.com/office/excel/2006/main">
          <x14:cfRule type="dataBar" id="{6865e71f-1372-4678-8cce-e17ab517d11e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5ce0b0-4c66-4356-b120-7d0a25b1fc8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5f46331-5e10-4cc0-841f-201cf0b486c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AB79 AB89</xm:sqref>
        </x14:conditionalFormatting>
        <x14:conditionalFormatting xmlns:xm="http://schemas.microsoft.com/office/excel/2006/main">
          <x14:cfRule type="dataBar" id="{c4ea5fcf-2f6a-4ab4-ba06-585fb607d652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e9d49c-f6ce-4f49-b477-1a44936a1f6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8565e67-2050-4b0b-876d-4010e8bcc8d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F89 F96 F103 F110</xm:sqref>
        </x14:conditionalFormatting>
        <x14:conditionalFormatting xmlns:xm="http://schemas.microsoft.com/office/excel/2006/main">
          <x14:cfRule type="dataBar" id="{62321936-14a1-4e69-8f10-7ac61b7f30d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8f239b0-e3dc-4ef3-bbdf-b844b65ed49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Y89 Y103</xm:sqref>
        </x14:conditionalFormatting>
        <x14:conditionalFormatting xmlns:xm="http://schemas.microsoft.com/office/excel/2006/main">
          <x14:cfRule type="dataBar" id="{76a53066-3e04-4276-b800-a8848ec00e6d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bb2e52-3243-499c-93a4-ec772574226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bf86626-3680-4e4a-99b3-454ca1e9c00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F117 F122 F127 F132 F137 F142 F147 F152</xm:sqref>
        </x14:conditionalFormatting>
        <x14:conditionalFormatting xmlns:xm="http://schemas.microsoft.com/office/excel/2006/main">
          <x14:cfRule type="dataBar" id="{4f4ccb6e-2c73-4c71-88ad-902d85e15fc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cff5f02-ccd9-4735-a6df-24ed49eefe9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ba238ed-154d-48f0-8ad7-cecc9833892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K117 K127</xm:sqref>
        </x14:conditionalFormatting>
        <x14:conditionalFormatting xmlns:xm="http://schemas.microsoft.com/office/excel/2006/main">
          <x14:cfRule type="dataBar" id="{d3778a82-1e16-4abe-b55e-8bf651109f2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6c486da-4f59-40d1-96d6-ff83e1c49f8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Y117 Y127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" outlineLevelRow="5"/>
  <cols>
    <col min="1" max="1" width="26.8818181818182" style="1" customWidth="1"/>
    <col min="2" max="2" width="9.38181818181818" style="1" customWidth="1"/>
    <col min="3" max="3" width="9.21818181818182" style="1" customWidth="1"/>
    <col min="18" max="18" width="9.38181818181818" style="1" customWidth="1"/>
  </cols>
  <sheetData>
    <row r="1" spans="1:18">
      <c r="A1" s="2" t="s">
        <v>367</v>
      </c>
      <c r="B1" s="3" t="s">
        <v>368</v>
      </c>
      <c r="C1" s="3" t="s">
        <v>369</v>
      </c>
      <c r="D1" s="3" t="s">
        <v>370</v>
      </c>
      <c r="E1" s="3" t="s">
        <v>371</v>
      </c>
      <c r="F1" s="3" t="s">
        <v>372</v>
      </c>
      <c r="G1" s="3" t="s">
        <v>373</v>
      </c>
      <c r="H1" s="3" t="s">
        <v>374</v>
      </c>
      <c r="I1" s="3" t="s">
        <v>375</v>
      </c>
      <c r="J1" s="3" t="s">
        <v>376</v>
      </c>
      <c r="K1" s="3" t="s">
        <v>377</v>
      </c>
      <c r="L1" s="3" t="s">
        <v>378</v>
      </c>
      <c r="M1" s="3" t="s">
        <v>379</v>
      </c>
      <c r="N1" s="3" t="s">
        <v>380</v>
      </c>
      <c r="O1" s="3" t="s">
        <v>381</v>
      </c>
      <c r="P1" s="3" t="s">
        <v>382</v>
      </c>
      <c r="Q1" s="3" t="s">
        <v>383</v>
      </c>
      <c r="R1" s="3" t="s">
        <v>384</v>
      </c>
    </row>
    <row r="2" spans="1:18">
      <c r="A2" s="3" t="s">
        <v>385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386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387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388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数据1_1_1_3_1_1_1_1" rangeCreator="" othersAccessPermission="edit"/>
    <arrUserId title="数据2_1_1_2_1_1_1_1_1_1_1_1_3_2_2_3_4_2_1_4_1" rangeCreator="" othersAccessPermission="edit"/>
    <arrUserId title="数据2_1_1_1_1_1_1_1_1_2_1_2_1_1_3_1_4_2_1_3_1_1" rangeCreator="" othersAccessPermission="edit"/>
    <arrUserId title="数据1_2_1_1_1_1_1" rangeCreator="" othersAccessPermission="edit"/>
    <arrUserId title="数据1_1_1_4_1_1_1_1_1_1" rangeCreator="" othersAccessPermission="edit"/>
    <arrUserId title="数据1_2_1_2_1_1" rangeCreator="" othersAccessPermission="edit"/>
    <arrUserId title="数据1_1_1_5_1_1_1_2" rangeCreator="" othersAccessPermission="edit"/>
    <arrUserId title="数据2_1_1_1_1_1_1_1_1_1_5_1_1_1_1_1_1_1_4_2_1_3_1" rangeCreator="" othersAccessPermission="edit"/>
    <arrUserId title="数据1_1_1_4_1_1_1" rangeCreator="" othersAccessPermission="edit"/>
    <arrUserId title="数据1_1_1_1_1_1_1_2_1" rangeCreator="" othersAccessPermission="edit"/>
    <arrUserId title="数据1_1_1_4_1_1_1_1_1_1_1" rangeCreator="" othersAccessPermission="edit"/>
    <arrUserId title="数据2_1_1_2_1_1_1_1_1_1_1_1_3_2_2_3_4_2_1_4" rangeCreator="" othersAccessPermission="edit"/>
    <arrUserId title="数据1_2_1_2_1_1_1" rangeCreator="" othersAccessPermission="edit"/>
    <arrUserId title="数据1_1_1_6_1_1_2" rangeCreator="" othersAccessPermission="edit"/>
    <arrUserId title="数据1_1_1_5_1_1_1_2_1" rangeCreator="" othersAccessPermission="edit"/>
    <arrUserId title="数据2_1_1_1_1_1_1_1_1_2_1_2_1_1_3_1_4_2_1_3_1" rangeCreator="" othersAccessPermission="edit"/>
    <arrUserId title="数据2_1_1_1_1_1_1_1_1_1_5_1_1_1_1_1_1_1_4_2_1_3_1_1" rangeCreator="" othersAccessPermission="edit"/>
    <arrUserId title="数据1_1_1_3_1_1_1_1_1" rangeCreator="" othersAccessPermission="edit"/>
    <arrUserId title="数据1_1_1_4_1_1_1_1" rangeCreator="" othersAccessPermission="edit"/>
    <arrUserId title="数据1_2_1_1_1_1" rangeCreator="" othersAccessPermission="edit"/>
    <arrUserId title="数据1_1_1_1_1_1_1_2_1_1" rangeCreator="" othersAccessPermission="edit"/>
    <arrUserId title="数据1_1_1_6_1_1_3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皮皮瞎</cp:lastModifiedBy>
  <dcterms:created xsi:type="dcterms:W3CDTF">2020-05-01T14:43:00Z</dcterms:created>
  <dcterms:modified xsi:type="dcterms:W3CDTF">2026-05-17T01:57:00Z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