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<sst xmlns="http://schemas.openxmlformats.org/spreadsheetml/2006/main" count="780" uniqueCount="493">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</sst>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Normal="85" topLeftCell="A6" workbookViewId="0">
      <selection activeCell="C20" sqref="C20:AA20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 t="e">
        <f>(U13-U12)/U12</f>
        <v>#DIV/0!</v>
      </c>
      <c r="V14" s="68"/>
      <c r="W14" s="69"/>
      <c r="X14" s="67" t="e">
        <f>(X13-X12)/X12</f>
        <v>#DIV/0!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7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/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/>
      <c r="M25" s="83" t="s">
        <v>76</v>
      </c>
      <c r="N25" s="87"/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/>
      <c r="Z25" s="83" t="s">
        <v>76</v>
      </c>
      <c r="AA25" s="87"/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/>
      <c r="M26" s="83" t="s">
        <v>83</v>
      </c>
      <c r="N26" s="92">
        <f>I29</f>
        <v>0</v>
      </c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/>
      <c r="Z26" s="83" t="s">
        <v>83</v>
      </c>
      <c r="AA26" s="92">
        <f>V29</f>
        <v>0</v>
      </c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/>
      <c r="M28" s="83" t="s">
        <v>89</v>
      </c>
      <c r="N28" s="87">
        <f>N25-N26</f>
        <v>0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/>
      <c r="Z28" s="83" t="s">
        <v>89</v>
      </c>
      <c r="AA28" s="87">
        <f>AA25-AA26</f>
        <v>0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/>
      <c r="M29" s="83" t="s">
        <v>95</v>
      </c>
      <c r="N29" s="87"/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/>
      <c r="Z29" s="83" t="s">
        <v>95</v>
      </c>
      <c r="AA29" s="87"/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>
        <f>L29-L25</f>
        <v>0</v>
      </c>
      <c r="M30" s="83" t="s">
        <v>101</v>
      </c>
      <c r="N30" s="87"/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>
        <f>Y29-Y25</f>
        <v>0</v>
      </c>
      <c r="Z30" s="83" t="s">
        <v>101</v>
      </c>
      <c r="AA30" s="87"/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>
        <f>N29-N30</f>
        <v>0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/>
      <c r="M35" s="103" t="s">
        <v>76</v>
      </c>
      <c r="N35" s="106"/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/>
      <c r="Z35" s="103" t="s">
        <v>76</v>
      </c>
      <c r="AA35" s="105"/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/>
      <c r="M36" s="103" t="s">
        <v>83</v>
      </c>
      <c r="N36" s="106">
        <f>I39</f>
        <v>0</v>
      </c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/>
      <c r="Z36" s="103" t="s">
        <v>83</v>
      </c>
      <c r="AA36" s="105">
        <f>V39</f>
        <v>0</v>
      </c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/>
      <c r="M38" s="103" t="s">
        <v>89</v>
      </c>
      <c r="N38" s="106">
        <f>N35-N36</f>
        <v>0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/>
      <c r="Z38" s="103" t="s">
        <v>89</v>
      </c>
      <c r="AA38" s="105">
        <f>AA35-AA36</f>
        <v>0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/>
      <c r="J39" s="105" t="s">
        <v>15</v>
      </c>
      <c r="K39" s="103" t="s">
        <v>94</v>
      </c>
      <c r="L39" s="105"/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/>
      <c r="W39" s="105" t="s">
        <v>15</v>
      </c>
      <c r="X39" s="103" t="s">
        <v>94</v>
      </c>
      <c r="Y39" s="105"/>
      <c r="Z39" s="103" t="s">
        <v>95</v>
      </c>
      <c r="AA39" s="105"/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>
        <f>L39-L35</f>
        <v>0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>
        <f>Y39-Y35</f>
        <v>0</v>
      </c>
      <c r="Z40" s="103" t="s">
        <v>101</v>
      </c>
      <c r="AA40" s="105"/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>
        <f>AA39-AA40</f>
        <v>0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0</v>
      </c>
      <c r="AD69" s="138">
        <f>20-AC69</f>
        <v>20</v>
      </c>
      <c r="AE69" s="138" t="s">
        <v>200</v>
      </c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201</v>
      </c>
      <c r="P70" s="147"/>
      <c r="Q70" s="147"/>
      <c r="R70" s="148"/>
      <c r="S70" s="149" t="s">
        <v>202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203</v>
      </c>
      <c r="P71" s="147"/>
      <c r="Q71" s="147"/>
      <c r="R71" s="148"/>
      <c r="S71" s="149" t="s">
        <v>204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205</v>
      </c>
      <c r="P72" s="147"/>
      <c r="Q72" s="147"/>
      <c r="R72" s="148"/>
      <c r="S72" s="149" t="s">
        <v>206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207</v>
      </c>
      <c r="P73" s="147"/>
      <c r="Q73" s="147"/>
      <c r="R73" s="148"/>
      <c r="S73" s="149" t="s">
        <v>208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209</v>
      </c>
      <c r="P74" s="147"/>
      <c r="Q74" s="147"/>
      <c r="R74" s="148"/>
      <c r="S74" s="149" t="s">
        <v>210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 t="s">
        <v>222</v>
      </c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223</v>
      </c>
      <c r="P80" s="147"/>
      <c r="Q80" s="147"/>
      <c r="R80" s="148"/>
      <c r="S80" s="163" t="s">
        <v>224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225</v>
      </c>
      <c r="P81" s="147"/>
      <c r="Q81" s="147"/>
      <c r="R81" s="148"/>
      <c r="S81" s="163" t="s">
        <v>226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227</v>
      </c>
      <c r="P82" s="147"/>
      <c r="Q82" s="147"/>
      <c r="R82" s="148"/>
      <c r="S82" s="163" t="s">
        <v>228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229</v>
      </c>
      <c r="P83" s="147"/>
      <c r="Q83" s="147"/>
      <c r="R83" s="148"/>
      <c r="S83" s="163" t="s">
        <v>230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231</v>
      </c>
      <c r="P84" s="147"/>
      <c r="Q84" s="147"/>
      <c r="R84" s="148"/>
      <c r="S84" s="163" t="s">
        <v>232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38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0</v>
      </c>
      <c r="AD89" s="138">
        <f>20-AC89</f>
        <v>20</v>
      </c>
      <c r="AE89" s="138" t="s">
        <v>200</v>
      </c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 t="s">
        <v>222</v>
      </c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38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0</v>
      </c>
      <c r="AD109" s="138">
        <f>20-AC109</f>
        <v>20</v>
      </c>
      <c r="AE109" s="138" t="s">
        <v>200</v>
      </c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 t="s">
        <v>222</v>
      </c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38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0</v>
      </c>
      <c r="AD129" s="138">
        <f>20-AC129</f>
        <v>20</v>
      </c>
      <c r="AE129" s="138" t="s">
        <v>200</v>
      </c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 t="s">
        <v>222</v>
      </c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38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0</v>
      </c>
      <c r="AD149" s="138">
        <f>20-AC149</f>
        <v>20</v>
      </c>
      <c r="AE149" s="138" t="s">
        <v>200</v>
      </c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 t="s">
        <v>222</v>
      </c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38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54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0</v>
      </c>
      <c r="AD169" s="147">
        <f>20-AC169</f>
        <v>20</v>
      </c>
      <c r="AE169" s="138" t="s">
        <v>200</v>
      </c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47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29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 t="s">
        <v>222</v>
      </c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{3932aab8-bd28-4bdc-854d-a557c45adca5}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{82f100c7-86ea-4e27-90c7-0ddf631a5ddd}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{30e16290-2128-4997-a853-ed535a357b6a}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{56ee5bd4-08ed-49d8-b894-9652ada0974b}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{89d6a018-748d-4749-916e-5011ed51ab29}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{2454dee4-1897-4708-bb81-62d13bb5c841}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{b5ba81fe-72b9-4525-b69c-6817651d7f15}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{3d4edf10-7bdc-4950-be35-c390c3f8bcc9}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{6c2132dc-fe1e-4dc5-9a99-964d014fcaff}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{316b3783-6ee6-4d9d-b8bf-7356ad08fe87}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{4dc53339-5ed8-4a17-8f5b-a5f578989b92}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{db48b74a-c711-4276-8370-d94010b42055}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{232c19a8-4c02-4895-aa27-bb51a6fc35c6}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{ec68d299-6b47-406e-9f29-9c53e6bb6ff9}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{83ad3bc8-74ad-44ee-9eda-745353b88311}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{84919dcf-b023-4416-a271-2b10dd110990}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{eab74a9e-5ada-4048-a5ce-c0c54f2eca82}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{1de9a9da-b216-4bb4-803d-85c0da33e6fb}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{f83118a6-43f0-4fe9-b2f5-6862b7c67e19}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{956e6e6f-76e2-4674-84ce-93cb6d2b234d}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{84b27833-047d-4b47-a68d-c6249f89c0c4}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{5a933331-de08-4b4e-a383-df8e8fbbe3f9}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{38eb80c4-d27b-4b5f-89dd-7746868ec772}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{d732c76a-457d-465f-97be-f1f54d47c8a4}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{daa6e485-8c50-4ebf-816e-9027a9bb41ab}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{c71d4a07-c2f0-4d5c-869c-196d9d8f6d3e}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{d1462981-1a27-43ac-acb1-9bfc0c27b85d}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{b57045fa-6969-4813-b6eb-4770c3c20c4c}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{c1e6ce22-58da-485c-948f-8434ca9c2296}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{6540b8fe-ada5-455d-bd1a-d673ad6642c6}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{81e656f8-8418-4a6a-b137-597d2146b767}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{967bdf2b-f914-4505-86c5-e12944c276fc}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{473f09d8-fcb0-44ab-995a-436bce0508e9}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{79cbb222-8cf5-452a-9617-678cf9662b2d}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{b2373a7e-9f0a-40fa-8926-ce55a11ce610}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{d4e29cc3-11e0-46cf-a40a-fab2cf25d68b}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{84aad717-50f3-42c7-b510-cf4c9cad22a4}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{787ed57b-7ca2-44ae-8f1d-4f486efdc660}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{738c1dc2-8e4f-411f-b37c-755f65f69589}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{bab48e83-cb98-49ec-b2d5-ce5c991abddb}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{cf0eb950-2c57-459c-92ce-0e8039b01bed}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{be6139a4-f380-4664-84a4-c3d92b4a6969}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{c84a2bd8-61d0-4429-90a1-d96450ade3f9}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{83525fb8-f305-4507-983a-e30926b07b15}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{a6b542d5-971a-413e-b65b-135e83662c46}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{984847ba-dadc-4795-8495-410406ddddfc}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{36b76f27-afa0-489f-a87c-ac534300f035}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{4805e399-6440-46db-9f68-c6cfc8f49a52}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{303abf6a-334a-45ef-be5b-ce4e334978f7}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{f109ee85-9855-4d2f-96f8-7eaf123bdb90}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{96936257-9a93-4360-86c3-8d45ba6e3298}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{93dad177-fe67-4185-b3e1-cec7751bcff3}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{7520bb0e-a1b9-4655-8953-084268910355}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{5fbeb63a-2be6-4984-bb2d-241cfbcc46a5}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{2e4fe7e9-0d66-45bf-ad28-17689609d23e}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{0148d49e-4ce5-4e6a-928f-27a603f454b4}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{252ef752-38b2-4015-9458-b7a6f39481ca}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{70de4c80-f137-4767-a9d2-3a371f115217}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{4eb48a5a-e437-42aa-9b82-7625e9c5c00b}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{9d1899f9-9fee-41fd-97fe-9ba7d9623809}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{a47feb2d-1b0f-4516-8ec3-f7b5b2b476d4}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{6e5e286f-936d-47d7-8820-ebdeb5f0fc62}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{7e0b5292-af90-4dba-83fa-140d62420e38}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{4848be0b-423b-4330-b4f0-2537490837aa}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{02b83baf-432c-4691-8e53-9ff396208269}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{12d1a9e5-fc68-4aba-93fe-89532dff0257}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{77e03c3d-2d2f-491e-8813-643cc6475233}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{ce1c1e0e-2b48-408d-84c9-2246e941f8d5}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{2bbb31e8-a27d-45cd-becb-593237e21ba1}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{8baa8ba9-e80d-4d98-99db-24e10f070edc}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{4ac8f49d-dfdd-47b1-a7cf-ced3c54475b8}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{7f8b76eb-027e-455a-85a7-6d64eb4b557e}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{cd289d4a-878e-4b6a-b89d-2518186354ec}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{24e8bc63-5a66-4a93-9be0-66589f270bc0}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{c5d43ce1-3cd6-49bf-9ebb-ab8bd60f798d}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{946ea27f-2b5b-4d9b-a937-354f50a03d3a}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{7dce38d9-78ca-40df-ac21-a9d474963c3c}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{d651863c-6c1d-41ff-84d7-5c8922542ccb}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{5e2184b8-307c-4008-8412-e49720f5cffc}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{280a2fd3-76b3-416e-a2e0-f32e161fb8b2}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{b95ed258-f794-4210-952a-b8473379152e}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{98411d6a-7ae3-4f9c-a352-d941c53028d0}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{3c949efe-ba17-40eb-919e-4cef3445fa5c}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{a424e572-0a6f-48a0-94bf-00f62e290800}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{10b01e13-8e55-43ac-ba2e-74307942de61}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{e27ca86d-6af8-41d6-aae3-7dc4b93027c1}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32aab8-bd28-4bdc-854d-a557c45adca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2f100c7-86ea-4e27-90c7-0ddf631a5dd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e16290-2128-4997-a853-ed535a357b6a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6ee5bd4-08ed-49d8-b894-9652ada0974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9d6a018-748d-4749-916e-5011ed51ab2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454dee4-1897-4708-bb81-62d13bb5c84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5ba81fe-72b9-4525-b69c-6817651d7f1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d4edf10-7bdc-4950-be35-c390c3f8bcc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6c2132dc-fe1e-4dc5-9a99-964d014fca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16b3783-6ee6-4d9d-b8bf-7356ad08fe8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c53339-5ed8-4a17-8f5b-a5f578989b9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b48b74a-c711-4276-8370-d94010b4205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32c19a8-4c02-4895-aa27-bb51a6fc35c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c68d299-6b47-406e-9f29-9c53e6bb6ff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3ad3bc8-74ad-44ee-9eda-745353b8831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4919dcf-b023-4416-a271-2b10dd11099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eab74a9e-5ada-4048-a5ce-c0c54f2eca8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de9a9da-b216-4bb4-803d-85c0da33e6f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83118a6-43f0-4fe9-b2f5-6862b7c67e1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56e6e6f-76e2-4674-84ce-93cb6d2b234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4b27833-047d-4b47-a68d-c6249f89c0c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a933331-de08-4b4e-a383-df8e8fbbe3f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8eb80c4-d27b-4b5f-89dd-7746868ec77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732c76a-457d-465f-97be-f1f54d47c8a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daa6e485-8c50-4ebf-816e-9027a9bb41a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71d4a07-c2f0-4d5c-869c-196d9d8f6d3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1462981-1a27-43ac-acb1-9bfc0c27b85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57045fa-6969-4813-b6eb-4770c3c20c4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1e6ce22-58da-485c-948f-8434ca9c229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6540b8fe-ada5-455d-bd1a-d673ad6642c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1e656f8-8418-4a6a-b137-597d2146b76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67bdf2b-f914-4505-86c5-e12944c276f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473f09d8-fcb0-44ab-995a-436bce0508e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9cbb222-8cf5-452a-9617-678cf9662b2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2373a7e-9f0a-40fa-8926-ce55a11ce610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4e29cc3-11e0-46cf-a40a-fab2cf25d68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4aad717-50f3-42c7-b510-cf4c9cad22a4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787ed57b-7ca2-44ae-8f1d-4f486efdc66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38c1dc2-8e4f-411f-b37c-755f65f6958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ab48e83-cb98-49ec-b2d5-ce5c991abdd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cf0eb950-2c57-459c-92ce-0e8039b01be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e6139a4-f380-4664-84a4-c3d92b4a696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84a2bd8-61d0-4429-90a1-d96450ade3f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83525fb8-f305-4507-983a-e30926b07b1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6b542d5-971a-413e-b65b-135e83662c4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84847ba-dadc-4795-8495-410406ddddfc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6b76f27-afa0-489f-a87c-ac534300f03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805e399-6440-46db-9f68-c6cfc8f49a5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303abf6a-334a-45ef-be5b-ce4e334978f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109ee85-9855-4d2f-96f8-7eaf123bdb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6936257-9a93-4360-86c3-8d45ba6e329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3dad177-fe67-4185-b3e1-cec7751bcff3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7520bb0e-a1b9-4655-8953-08426891035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fbeb63a-2be6-4984-bb2d-241cfbcc46a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e4fe7e9-0d66-45bf-ad28-17689609d23e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148d49e-4ce5-4e6a-928f-27a603f454b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252ef752-38b2-4015-9458-b7a6f39481c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70de4c80-f137-4767-a9d2-3a371f1152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4eb48a5a-e437-42aa-9b82-7625e9c5c00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9d1899f9-9fee-41fd-97fe-9ba7d962380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47feb2d-1b0f-4516-8ec3-f7b5b2b476d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e5e286f-936d-47d7-8820-ebdeb5f0fc62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e0b5292-af90-4dba-83fa-140d62420e3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848be0b-423b-4330-b4f0-2537490837aa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2b83baf-432c-4691-8e53-9ff39620826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12d1a9e5-fc68-4aba-93fe-89532dff025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7e03c3d-2d2f-491e-8813-643cc647523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ce1c1e0e-2b48-408d-84c9-2246e941f8d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bbb31e8-a27d-45cd-becb-593237e21ba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8baa8ba9-e80d-4d98-99db-24e10f070ed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4ac8f49d-dfdd-47b1-a7cf-ced3c54475b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f8b76eb-027e-455a-85a7-6d64eb4b55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cd289d4a-878e-4b6a-b89d-2518186354e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4e8bc63-5a66-4a93-9be0-66589f270bc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c5d43ce1-3cd6-49bf-9ebb-ab8bd60f798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946ea27f-2b5b-4d9b-a937-354f50a03d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dce38d9-78ca-40df-ac21-a9d474963c3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d651863c-6c1d-41ff-84d7-5c8922542cc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5e2184b8-307c-4008-8412-e49720f5cff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80a2fd3-76b3-416e-a2e0-f32e161fb8b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95ed258-f794-4210-952a-b8473379152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98411d6a-7ae3-4f9c-a352-d941c53028d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c949efe-ba17-40eb-919e-4cef3445fa5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424e572-0a6f-48a0-94bf-00f62e29080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10b01e13-8e55-43ac-ba2e-74307942de6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27ca86d-6af8-41d6-aae3-7dc4b93027c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2026-05-16T13:59:11Z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