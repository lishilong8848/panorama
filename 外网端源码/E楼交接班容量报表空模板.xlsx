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<sst xmlns="http://schemas.openxmlformats.org/spreadsheetml/2006/main" count="806" uniqueCount="493">
  <si>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</si>
  <si>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</si>
  <si>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</si>
  <si>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</si>
  <si>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</si>
  <si>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</si>
  <si>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</si>
  <si>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</si>
  <si>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</si>
  <si>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</si>
  <si>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</si>
  <si>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</si>
  <si>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</si>
  <si>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</si>
  <si>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</si>
  <si>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</si>
  <si>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</si>
  <si>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</si>
  <si>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</si>
  <si>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</si>
  <si>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</si>
  <si>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</si>
  <si>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</si>
  <si>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</si>
  <si>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</si>
  <si>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</si>
  <si>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</si>
  <si>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</si>
  <si>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</si>
  <si>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</si>
  <si>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</si>
  <si>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</si>
  <si>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</si>
  <si>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</si>
  <si>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</si>
  <si>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</si>
  <si>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</si>
  <si>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</si>
  <si>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</si>
  <si>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</si>
  <si>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</si>
  <si>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</si>
  <si>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</si>
  <si>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</si>
  <si>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</si>
  <si>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</si>
  <si>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</si>
  <si>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</si>
  <si>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</si>
  <si>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</si>
  <si>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</si>
  <si>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</si>
  <si>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</si>
  <si>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</si>
  <si>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</si>
  <si>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</si>
  <si>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</si>
  <si>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</si>
  <si>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</si>
  <si>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</si>
  <si>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</si>
  <si>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</si>
  <si>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</si>
  <si>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</si>
  <si>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</si>
  <si>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</si>
  <si>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</si>
  <si>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</si>
  <si>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</si>
  <si>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</si>
  <si>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</si>
  <si>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</si>
  <si>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</si>
  <si>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</si>
  <si>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</si>
  <si>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</si>
  <si>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</si>
  <si>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</si>
  <si>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</si>
  <si>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</si>
  <si>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</si>
  <si>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</si>
  <si>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</si>
  <si>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</si>
  <si>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</si>
  <si>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</si>
  <si>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</si>
  <si>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</si>
  <si>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</si>
  <si>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</si>
  <si>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</si>
  <si>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</si>
  <si>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</si>
  <si>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</si>
  <si>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</si>
  <si>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</si>
  <si>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</si>
  <si>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</si>
  <si>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</si>
  <si>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</si>
  <si>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</si>
  <si>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</si>
  <si>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</si>
  <si>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</si>
  <si>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</si>
  <si>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</si>
  <si>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</si>
  <si>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</si>
  <si>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</si>
  <si>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</si>
  <si>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</si>
  <si>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</si>
  <si>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</si>
  <si>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</si>
  <si>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</si>
  <si>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</si>
  <si>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</si>
  <si>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</si>
  <si>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</si>
  <si>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</si>
  <si>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</si>
  <si>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</si>
  <si>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</si>
  <si>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</si>
  <si>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</si>
  <si>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</si>
  <si>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</si>
  <si>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</si>
  <si>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</si>
  <si>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</si>
  <si>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</si>
  <si>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</si>
  <si>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</si>
  <si>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</si>
  <si>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</si>
  <si>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</si>
  <si>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</si>
  <si>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</si>
  <si>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</si>
  <si>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</si>
  <si>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</si>
  <si>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</si>
  <si>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</si>
  <si>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</si>
  <si>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</si>
  <si>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</si>
  <si>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</si>
  <si>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</si>
  <si>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</si>
  <si>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</si>
  <si>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</si>
  <si>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</si>
  <si>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</si>
  <si>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</si>
  <si>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</si>
  <si>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</si>
  <si>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</si>
  <si>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</si>
  <si>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</si>
  <si>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</si>
  <si>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</si>
  <si>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</si>
  <si>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</si>
  <si>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</si>
  <si>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</si>
  <si>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</si>
  <si>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</si>
  <si>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</si>
  <si>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</si>
  <si>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</si>
  <si>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</si>
  <si>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</si>
  <si>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</si>
  <si>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</si>
  <si>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</si>
  <si>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</si>
  <si>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</si>
  <si>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</si>
  <si>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</si>
  <si>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</si>
  <si>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</si>
  <si>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</si>
  <si>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</si>
  <si>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</si>
  <si>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</si>
  <si>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</si>
  <si>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</si>
  <si>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</si>
  <si>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</si>
  <si>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</si>
  <si>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</si>
  <si>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</si>
  <si>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</si>
  <si>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</si>
  <si>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</si>
  <si>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</si>
  <si>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</si>
  <si>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</si>
  <si>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</si>
  <si>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</si>
  <si>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</si>
  <si>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</si>
  <si>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</si>
  <si>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</si>
  <si>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</si>
  <si>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</si>
  <si>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</si>
  <si>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</si>
  <si>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</si>
  <si>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</si>
  <si>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南侧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</si>
  <si>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</si>
  <si>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</si>
  <si>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</si>
  <si>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</si>
  <si>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</si>
  <si>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</si>
  <si>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</si>
  <si>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</si>
  <si>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</si>
  <si>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</si>
  <si>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</si>
  <si>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</si>
  <si>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</si>
  <si>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</si>
  <si>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</si>
  <si>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</si>
  <si>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</si>
  <si>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</si>
  <si>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</si>
  <si>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</si>
  <si>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</si>
  <si>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北侧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</si>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</sst>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="130" zoomScaleNormal="85" topLeftCell="A134" workbookViewId="0">
      <selection activeCell="V169" sqref="V169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 t="e">
        <f>(U13-U12)/U12</f>
        <v>#DIV/0!</v>
      </c>
      <c r="V14" s="68"/>
      <c r="W14" s="69"/>
      <c r="X14" s="67" t="e">
        <f>(X13-X12)/X12</f>
        <v>#DIV/0!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14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 t="e">
        <f>AC29/O59*24</f>
        <v>#DIV/0!</v>
      </c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 t="s">
        <v>15</v>
      </c>
      <c r="M25" s="83" t="s">
        <v>76</v>
      </c>
      <c r="N25" s="87" t="s">
        <v>15</v>
      </c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 t="s">
        <v>15</v>
      </c>
      <c r="Z25" s="83" t="s">
        <v>76</v>
      </c>
      <c r="AA25" s="87" t="s">
        <v>15</v>
      </c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 t="s">
        <v>15</v>
      </c>
      <c r="M26" s="83" t="s">
        <v>83</v>
      </c>
      <c r="N26" s="92">
        <f>I29</f>
        <v>0</v>
      </c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 t="s">
        <v>15</v>
      </c>
      <c r="Z26" s="83" t="s">
        <v>83</v>
      </c>
      <c r="AA26" s="92">
        <f>V29</f>
        <v>0</v>
      </c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 t="s">
        <v>15</v>
      </c>
      <c r="M28" s="83" t="s">
        <v>89</v>
      </c>
      <c r="N28" s="87" t="e">
        <f>N25-N26</f>
        <v>#VALUE!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 t="s">
        <v>15</v>
      </c>
      <c r="Z28" s="83" t="s">
        <v>89</v>
      </c>
      <c r="AA28" s="87" t="e">
        <f>AA25-AA26</f>
        <v>#VALUE!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 t="s">
        <v>15</v>
      </c>
      <c r="M29" s="83" t="s">
        <v>95</v>
      </c>
      <c r="N29" s="87" t="s">
        <v>15</v>
      </c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 t="s">
        <v>15</v>
      </c>
      <c r="Z29" s="83" t="s">
        <v>95</v>
      </c>
      <c r="AA29" s="87" t="s">
        <v>15</v>
      </c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 t="e">
        <f>L29-L25</f>
        <v>#VALUE!</v>
      </c>
      <c r="M30" s="83" t="s">
        <v>101</v>
      </c>
      <c r="N30" s="87" t="s">
        <v>15</v>
      </c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 t="e">
        <f>Y29-Y25</f>
        <v>#VALUE!</v>
      </c>
      <c r="Z30" s="83" t="s">
        <v>101</v>
      </c>
      <c r="AA30" s="87" t="s">
        <v>15</v>
      </c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 t="e">
        <f>N29-N30</f>
        <v>#VALUE!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 t="e">
        <f>AA29-AA30</f>
        <v>#VALUE!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 t="s">
        <v>15</v>
      </c>
      <c r="M35" s="103" t="s">
        <v>76</v>
      </c>
      <c r="N35" s="106" t="s">
        <v>15</v>
      </c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 t="s">
        <v>15</v>
      </c>
      <c r="Z35" s="103" t="s">
        <v>76</v>
      </c>
      <c r="AA35" s="105" t="s">
        <v>15</v>
      </c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 t="s">
        <v>15</v>
      </c>
      <c r="M36" s="103" t="s">
        <v>83</v>
      </c>
      <c r="N36" s="106">
        <f>I39</f>
        <v>0</v>
      </c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 t="s">
        <v>15</v>
      </c>
      <c r="Z36" s="103" t="s">
        <v>83</v>
      </c>
      <c r="AA36" s="105">
        <f>V39</f>
        <v>0</v>
      </c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 t="s">
        <v>15</v>
      </c>
      <c r="M38" s="103" t="s">
        <v>89</v>
      </c>
      <c r="N38" s="106" t="e">
        <f>N35-N36</f>
        <v>#VALUE!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 t="s">
        <v>15</v>
      </c>
      <c r="Z38" s="103" t="s">
        <v>89</v>
      </c>
      <c r="AA38" s="105" t="e">
        <f>AA35-AA36</f>
        <v>#VALUE!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/>
      <c r="J39" s="105" t="s">
        <v>15</v>
      </c>
      <c r="K39" s="103" t="s">
        <v>94</v>
      </c>
      <c r="L39" s="105" t="s">
        <v>15</v>
      </c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/>
      <c r="W39" s="105" t="s">
        <v>15</v>
      </c>
      <c r="X39" s="103" t="s">
        <v>94</v>
      </c>
      <c r="Y39" s="105" t="s">
        <v>15</v>
      </c>
      <c r="Z39" s="103" t="s">
        <v>95</v>
      </c>
      <c r="AA39" s="105" t="s">
        <v>15</v>
      </c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 t="e">
        <f>L39-L35</f>
        <v>#VALUE!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 t="e">
        <f>Y39-Y35</f>
        <v>#VALUE!</v>
      </c>
      <c r="Z40" s="103" t="s">
        <v>101</v>
      </c>
      <c r="AA40" s="105" t="s">
        <v>15</v>
      </c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 t="e">
        <f>AA39-AA40</f>
        <v>#VALUE!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0</v>
      </c>
      <c r="AD69" s="138">
        <f>20-AC69</f>
        <v>20</v>
      </c>
      <c r="AE69" s="138"/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200</v>
      </c>
      <c r="P70" s="147"/>
      <c r="Q70" s="147"/>
      <c r="R70" s="148"/>
      <c r="S70" s="149" t="s">
        <v>201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202</v>
      </c>
      <c r="P71" s="147"/>
      <c r="Q71" s="147"/>
      <c r="R71" s="148"/>
      <c r="S71" s="149" t="s">
        <v>203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204</v>
      </c>
      <c r="P72" s="147"/>
      <c r="Q72" s="147"/>
      <c r="R72" s="148"/>
      <c r="S72" s="149" t="s">
        <v>205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206</v>
      </c>
      <c r="P73" s="147"/>
      <c r="Q73" s="147"/>
      <c r="R73" s="148"/>
      <c r="S73" s="149" t="s">
        <v>207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208</v>
      </c>
      <c r="P74" s="147"/>
      <c r="Q74" s="147"/>
      <c r="R74" s="148"/>
      <c r="S74" s="149" t="s">
        <v>209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 t="s">
        <v>210</v>
      </c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/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222</v>
      </c>
      <c r="P80" s="147"/>
      <c r="Q80" s="147"/>
      <c r="R80" s="148"/>
      <c r="S80" s="163" t="s">
        <v>223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224</v>
      </c>
      <c r="P81" s="147"/>
      <c r="Q81" s="147"/>
      <c r="R81" s="148"/>
      <c r="S81" s="163" t="s">
        <v>225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226</v>
      </c>
      <c r="P82" s="147"/>
      <c r="Q82" s="147"/>
      <c r="R82" s="148"/>
      <c r="S82" s="163" t="s">
        <v>227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228</v>
      </c>
      <c r="P83" s="147"/>
      <c r="Q83" s="147"/>
      <c r="R83" s="148"/>
      <c r="S83" s="163" t="s">
        <v>229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230</v>
      </c>
      <c r="P84" s="147"/>
      <c r="Q84" s="147"/>
      <c r="R84" s="148"/>
      <c r="S84" s="163" t="s">
        <v>231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47" t="s">
        <v>232</v>
      </c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29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0</v>
      </c>
      <c r="AD89" s="138">
        <f>20-AC89</f>
        <v>20</v>
      </c>
      <c r="AE89" s="138"/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 t="s">
        <v>210</v>
      </c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/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47" t="s">
        <v>232</v>
      </c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29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0</v>
      </c>
      <c r="AD109" s="138">
        <f>20-AC109</f>
        <v>20</v>
      </c>
      <c r="AE109" s="138"/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 t="s">
        <v>210</v>
      </c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/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47" t="s">
        <v>232</v>
      </c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29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0</v>
      </c>
      <c r="AD129" s="138">
        <f>20-AC129</f>
        <v>20</v>
      </c>
      <c r="AE129" s="138"/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 t="s">
        <v>210</v>
      </c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/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47" t="s">
        <v>232</v>
      </c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29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0</v>
      </c>
      <c r="AD149" s="138">
        <f>20-AC149</f>
        <v>20</v>
      </c>
      <c r="AE149" s="138"/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 t="s">
        <v>210</v>
      </c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/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47" t="s">
        <v>232</v>
      </c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29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0</v>
      </c>
      <c r="AD169" s="147">
        <f>20-AC169</f>
        <v>20</v>
      </c>
      <c r="AE169" s="138"/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38" t="s">
        <v>210</v>
      </c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54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/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 t="s">
        <v>232</v>
      </c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{c40e1be4-278d-4106-a264-7e24c5834b93}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{0c85f3b4-aa7f-47a5-83db-0528ca23762a}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{ac655ab4-f308-4c87-9e34-66966211f74b}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{39f3fa74-b5bb-42a9-90a0-31b27d81a156}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{dc7c9479-6a77-493f-9145-7db90213dd91}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{30c3fe1b-d5dd-44c8-b148-11530f542a1d}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{0b7294df-a2bb-4b0e-ab97-7ca90027e5bb}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{35412cb4-978f-440c-b230-f0db42b2754e}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{dd16fd2e-52e2-4aa3-831d-bf52846ced38}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{c0e07587-61e6-4e79-910f-93060dfbcbcf}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{f4caf146-6bdf-4627-b2e6-c4ee091e0968}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{df0b6f11-684d-42bc-a71d-5fbfcb74a33c}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{6c113875-e799-4d6f-8e61-a582dc1cdef7}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{e8642ac2-74de-494e-98f3-3b8a0681c56a}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{c0149164-5920-4a15-9fac-6b31478355fc}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{5de8e3f1-4541-4290-acbf-6b8640c4d616}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{897a118c-e709-4cb4-9ea2-09e3767f8e84}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{f701364a-91a7-4d2f-aee2-d78e3ebafbd9}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{7607fef3-d939-4f35-a1d9-cea40fcc6e4a}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{94e02fdc-42e5-4fcd-a7b7-0652de76d0eb}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{5aa23cf2-9cd6-4b4e-84fb-97deab5f8334}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{b163d7bb-961f-461b-b611-d3514f16e8aa}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{6ee7de2a-c64b-477b-bf28-1c3fa064396e}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{5f657561-e127-4b6c-857b-5ed198b353ae}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{e3043095-6e12-46e7-a7a0-6d5a5358f5ae}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{57b164a5-f92d-4586-977a-113085003a0e}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{0ca28bcd-5c4d-42cf-a372-6078af59dece}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{a17e448e-07ed-44e4-8b95-a2ad2979e999}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{ce8a9710-b39e-43e6-810e-f05a57791185}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{3df6b351-2d04-41df-aefa-a61374bc9c65}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{f526af69-39d0-40c0-a5ed-13d1e7cca4a7}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{394158f6-d98b-4c8e-8cd0-5486516e0d42}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{f2949406-5f7c-4870-a887-2712876dc7bd}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{89097dd5-fd26-4b44-a4a8-9b8c25fc8422}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{3718532f-2ff6-492d-8042-dd0abe5080df}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{ec2967a5-da46-4c5a-b61e-677c354e2a24}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{4a6a5449-c166-4316-9df4-240d723bda5f}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{60481860-bd00-4284-915f-72c5a9966c8b}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{3051ce84-c5aa-439c-a5ac-30465418d927}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{fdf3c70b-b3e6-4f21-9783-b785226562f8}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{5d22b24a-619b-4646-aefe-583694c1f3b1}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{d86ea441-ca3c-4de3-91cc-b7c7f228138d}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{83669414-a64a-49e6-9074-04d52b5b9088}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{9249d4bd-6f00-4282-956c-a540b35107d0}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{fc38d306-1d05-4857-ba94-0a65cb63de36}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{c8338882-172e-409a-aac1-fd694d2aa7ad}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{2650951a-eabb-4526-b1a8-4a0bf8a0e0aa}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{036fc3dd-d7ef-450c-b80f-2a90a8010563}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{1c8bb88c-e274-41d4-b450-16c6b1f9c69a}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{06bfb9c2-0037-42e2-8594-d5e57224ae5a}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{a7e59c26-702c-4a11-8fb3-6ae198e5577a}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{4ac7ae8c-14cc-4b32-a0a5-0c8dcd18182b}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{c07db04e-8e52-435f-b02d-890066091e2c}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{a8b583c2-60b6-4949-a9f7-3db4acaddfce}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{ca30cc9b-8a85-4778-a107-efe4cde796a0}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{18b810cd-8d72-4ce6-b8bd-66025d4da631}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{de4713df-ccf1-4255-ad87-c2022c2b8548}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{c6ff0eaa-9a17-4cce-a01e-fb55b3744dc7}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{9f6ca779-035b-4889-98f7-dbd6e38f05e0}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{ccbd0073-0f96-4c36-9368-782b09cc43b1}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{312a9e87-bfdd-4af4-a4cd-ea54fd284883}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{34484f1c-dede-4c26-807c-7aa0c9b5222a}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{e553286a-a7f1-4159-8f2d-c889d995a0ad}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{272bd141-86e7-4d4a-9763-24b6e9b51b46}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{4422c80c-6161-4b21-9c82-f1302ed3e78d}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{01e66f98-1be7-42b7-afc8-779ed7c24498}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{268da774-1dd7-4cf8-b413-0c139f5d1e92}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{b89a8d9a-a668-40f0-a38c-e07ada4b5684}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{c38d46eb-f1d5-4827-a62c-41375ccc41c3}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{7bca7cf8-8dd4-4737-8f28-2bd9a2fff72a}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{cc68a2b7-4b14-4107-a2d4-fa62c6089904}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{476dd0d7-8df9-4e3f-9eb1-2176984aa8c8}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{4195e7ce-115d-4b6c-9733-bb54856a2382}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{51d3565d-fafa-4f13-b4e0-25507d1d4f29}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{3593caf3-5d29-455c-9523-512d3cae2497}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{fbf79121-fdb9-4889-ac2b-a6379a6d531d}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{e3f44a6c-0207-4ba6-93f5-a92b74802171}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{e48f17ca-c21f-44a1-b4ab-4ec9ae07c35b}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{e08a880f-8924-48ab-80b4-76ee4df0a25f}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{25e57e2f-5a16-4c86-ab38-ec670adce065}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{83a64b92-9305-47ca-b4a4-b7d3e582f154}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{a971425e-24ea-4125-9f5e-5a98e4b2edc7}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{4df7c8ae-578e-45a0-ac53-39c0df692f16}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{b9cdbe98-fd73-49cd-83be-3fe88a6ed795}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{55056ae2-7f42-460f-ada0-e3a57d775680}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{81466f92-5534-496c-88dc-62a6d1d8b070}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0e1be4-278d-4106-a264-7e24c5834b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c85f3b4-aa7f-47a5-83db-0528ca23762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c655ab4-f308-4c87-9e34-66966211f74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9f3fa74-b5bb-42a9-90a0-31b27d81a15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c7c9479-6a77-493f-9145-7db90213dd9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0c3fe1b-d5dd-44c8-b148-11530f542a1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b7294df-a2bb-4b0e-ab97-7ca90027e5b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5412cb4-978f-440c-b230-f0db42b2754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dd16fd2e-52e2-4aa3-831d-bf52846ced3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0e07587-61e6-4e79-910f-93060dfbcbc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4caf146-6bdf-4627-b2e6-c4ee091e096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f0b6f11-684d-42bc-a71d-5fbfcb74a33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c113875-e799-4d6f-8e61-a582dc1cdef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8642ac2-74de-494e-98f3-3b8a0681c56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0149164-5920-4a15-9fac-6b31478355f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de8e3f1-4541-4290-acbf-6b8640c4d61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897a118c-e709-4cb4-9ea2-09e3767f8e8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01364a-91a7-4d2f-aee2-d78e3ebafbd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607fef3-d939-4f35-a1d9-cea40fcc6e4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4e02fdc-42e5-4fcd-a7b7-0652de76d0e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aa23cf2-9cd6-4b4e-84fb-97deab5f833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163d7bb-961f-461b-b611-d3514f16e8a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ee7de2a-c64b-477b-bf28-1c3fa064396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f657561-e127-4b6c-857b-5ed198b353a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e3043095-6e12-46e7-a7a0-6d5a5358f5a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7b164a5-f92d-4586-977a-113085003a0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ca28bcd-5c4d-42cf-a372-6078af59dec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17e448e-07ed-44e4-8b95-a2ad2979e99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e8a9710-b39e-43e6-810e-f05a5779118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df6b351-2d04-41df-aefa-a61374bc9c6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526af69-39d0-40c0-a5ed-13d1e7cca4a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94158f6-d98b-4c8e-8cd0-5486516e0d4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f2949406-5f7c-4870-a887-2712876dc7b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9097dd5-fd26-4b44-a4a8-9b8c25fc84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718532f-2ff6-492d-8042-dd0abe5080d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c2967a5-da46-4c5a-b61e-677c354e2a2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a6a5449-c166-4316-9df4-240d723bda5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0481860-bd00-4284-915f-72c5a9966c8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051ce84-c5aa-439c-a5ac-30465418d92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df3c70b-b3e6-4f21-9783-b785226562f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5d22b24a-619b-4646-aefe-583694c1f3b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86ea441-ca3c-4de3-91cc-b7c7f228138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3669414-a64a-49e6-9074-04d52b5b908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249d4bd-6f00-4282-956c-a540b35107d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c38d306-1d05-4857-ba94-0a65cb63de3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8338882-172e-409a-aac1-fd694d2aa7a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650951a-eabb-4526-b1a8-4a0bf8a0e0a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36fc3dd-d7ef-450c-b80f-2a90a801056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1c8bb88c-e274-41d4-b450-16c6b1f9c69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6bfb9c2-0037-42e2-8594-d5e57224ae5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7e59c26-702c-4a11-8fb3-6ae198e5577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ac7ae8c-14cc-4b32-a0a5-0c8dcd18182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07db04e-8e52-435f-b02d-890066091e2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8b583c2-60b6-4949-a9f7-3db4acaddfc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a30cc9b-8a85-4778-a107-efe4cde796a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8b810cd-8d72-4ce6-b8bd-66025d4da63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de4713df-ccf1-4255-ad87-c2022c2b85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c6ff0eaa-9a17-4cce-a01e-fb55b3744d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9f6ca779-035b-4889-98f7-dbd6e38f05e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ccbd0073-0f96-4c36-9368-782b09cc43b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12a9e87-bfdd-4af4-a4cd-ea54fd28488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4484f1c-dede-4c26-807c-7aa0c9b5222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553286a-a7f1-4159-8f2d-c889d995a0a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72bd141-86e7-4d4a-9763-24b6e9b51b4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4422c80c-6161-4b21-9c82-f1302ed3e78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1e66f98-1be7-42b7-afc8-779ed7c2449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68da774-1dd7-4cf8-b413-0c139f5d1e9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b89a8d9a-a668-40f0-a38c-e07ada4b568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8d46eb-f1d5-4827-a62c-41375ccc41c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7bca7cf8-8dd4-4737-8f28-2bd9a2fff72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cc68a2b7-4b14-4107-a2d4-fa62c608990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76dd0d7-8df9-4e3f-9eb1-2176984aa8c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4195e7ce-115d-4b6c-9733-bb54856a238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1d3565d-fafa-4f13-b4e0-25507d1d4f2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3593caf3-5d29-455c-9523-512d3cae249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fbf79121-fdb9-4889-ac2b-a6379a6d531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f44a6c-0207-4ba6-93f5-a92b7480217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e48f17ca-c21f-44a1-b4ab-4ec9ae07c3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e08a880f-8924-48ab-80b4-76ee4df0a25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e57e2f-5a16-4c86-ab38-ec670adce06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3a64b92-9305-47ca-b4a4-b7d3e582f15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a971425e-24ea-4125-9f5e-5a98e4b2ed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f7c8ae-578e-45a0-ac53-39c0df692f1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9cdbe98-fd73-49cd-83be-3fe88a6ed79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55056ae2-7f42-460f-ada0-e3a57d77568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1466f92-5534-496c-88dc-62a6d1d8b07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2026-05-23T09:37:19Z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