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<sst xmlns="http://schemas.openxmlformats.org/spreadsheetml/2006/main" count="774" uniqueCount="491">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</sst>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Normal="85" workbookViewId="0">
      <selection activeCell="P21" sqref="P21:AA21"/>
    </sheetView>
  </sheetViews>
  <sheetFormatPr defaultColWidth="9" defaultRowHeight="14.4"/>
  <cols>
    <col min="2" max="2" width="11.7685185185185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17.1111111111111" style="1" customWidth="1"/>
    <col min="16" max="18" width="9" style="1" customWidth="1"/>
    <col min="19" max="19" width="12.5925925925926" style="1" customWidth="1"/>
    <col min="20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2.3333333333333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>
        <f>(U13-U12)/100</f>
        <v>0</v>
      </c>
      <c r="V14" s="68"/>
      <c r="W14" s="69"/>
      <c r="X14" s="67">
        <f>(X13-X12)/100</f>
        <v>0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7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/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/>
      <c r="M25" s="83" t="s">
        <v>76</v>
      </c>
      <c r="N25" s="87"/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/>
      <c r="Z25" s="83" t="s">
        <v>76</v>
      </c>
      <c r="AA25" s="87"/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/>
      <c r="M26" s="83" t="s">
        <v>83</v>
      </c>
      <c r="N26" s="92"/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/>
      <c r="Z26" s="83" t="s">
        <v>83</v>
      </c>
      <c r="AA26" s="92"/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/>
      <c r="G28" s="14"/>
      <c r="H28" s="83" t="s">
        <v>87</v>
      </c>
      <c r="I28" s="99"/>
      <c r="J28" s="99"/>
      <c r="K28" s="83" t="s">
        <v>88</v>
      </c>
      <c r="L28" s="87"/>
      <c r="M28" s="83" t="s">
        <v>89</v>
      </c>
      <c r="N28" s="87">
        <f>N25-N26</f>
        <v>0</v>
      </c>
      <c r="O28" s="54"/>
      <c r="P28" s="83" t="s">
        <v>85</v>
      </c>
      <c r="Q28" s="91" t="s">
        <v>15</v>
      </c>
      <c r="R28" s="83" t="s">
        <v>86</v>
      </c>
      <c r="S28" s="73"/>
      <c r="T28" s="14"/>
      <c r="U28" s="83" t="s">
        <v>87</v>
      </c>
      <c r="V28" s="99"/>
      <c r="W28" s="73"/>
      <c r="X28" s="83" t="s">
        <v>88</v>
      </c>
      <c r="Y28" s="100"/>
      <c r="Z28" s="83" t="s">
        <v>89</v>
      </c>
      <c r="AA28" s="87">
        <f>AA25-AA26</f>
        <v>0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/>
      <c r="M29" s="83" t="s">
        <v>95</v>
      </c>
      <c r="N29" s="87"/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/>
      <c r="Z29" s="83" t="s">
        <v>95</v>
      </c>
      <c r="AA29" s="87"/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>
        <f>L29-L25</f>
        <v>0</v>
      </c>
      <c r="M30" s="83" t="s">
        <v>101</v>
      </c>
      <c r="N30" s="87"/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>
        <f>Y29-Y25</f>
        <v>0</v>
      </c>
      <c r="Z30" s="83" t="s">
        <v>101</v>
      </c>
      <c r="AA30" s="87"/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>
        <f>N29-N30</f>
        <v>0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/>
      <c r="M35" s="103" t="s">
        <v>76</v>
      </c>
      <c r="N35" s="106"/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/>
      <c r="Z35" s="103" t="s">
        <v>76</v>
      </c>
      <c r="AA35" s="105"/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/>
      <c r="M36" s="103" t="s">
        <v>83</v>
      </c>
      <c r="N36" s="106"/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/>
      <c r="Z36" s="103" t="s">
        <v>83</v>
      </c>
      <c r="AA36" s="105"/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 t="s">
        <v>15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/>
      <c r="M38" s="103" t="s">
        <v>89</v>
      </c>
      <c r="N38" s="106">
        <f>N35-N36</f>
        <v>0</v>
      </c>
      <c r="O38" s="54"/>
      <c r="P38" s="103" t="s">
        <v>85</v>
      </c>
      <c r="Q38" s="91" t="s">
        <v>15</v>
      </c>
      <c r="R38" s="103" t="s">
        <v>86</v>
      </c>
      <c r="S38" s="105" t="s">
        <v>15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/>
      <c r="Z38" s="103" t="s">
        <v>89</v>
      </c>
      <c r="AA38" s="105">
        <f>AA35-AA36</f>
        <v>0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 t="s">
        <v>15</v>
      </c>
      <c r="J39" s="105" t="s">
        <v>15</v>
      </c>
      <c r="K39" s="103" t="s">
        <v>94</v>
      </c>
      <c r="L39" s="105"/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 t="s">
        <v>15</v>
      </c>
      <c r="W39" s="105" t="s">
        <v>15</v>
      </c>
      <c r="X39" s="103" t="s">
        <v>94</v>
      </c>
      <c r="Y39" s="105"/>
      <c r="Z39" s="103" t="s">
        <v>95</v>
      </c>
      <c r="AA39" s="105"/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>
        <f>L39-L35</f>
        <v>0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>
        <f>Y39-Y35</f>
        <v>0</v>
      </c>
      <c r="Z40" s="103" t="s">
        <v>101</v>
      </c>
      <c r="AA40" s="105"/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>
        <f>AA39-AA40</f>
        <v>0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42" customHeight="1" spans="1:31">
      <c r="A49" s="64"/>
      <c r="B49" s="65"/>
      <c r="C49" s="103" t="s">
        <v>134</v>
      </c>
      <c r="D49" s="91" t="s">
        <v>118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103" t="s">
        <v>134</v>
      </c>
      <c r="Q49" s="91" t="s">
        <v>118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spans="1:31">
      <c r="A50" s="25" t="s">
        <v>135</v>
      </c>
      <c r="B50" s="14"/>
      <c r="C50" s="109" t="s">
        <v>15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136</v>
      </c>
      <c r="B51" s="14"/>
      <c r="C51" s="109" t="s">
        <v>15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10" t="s">
        <v>139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11" t="s">
        <v>140</v>
      </c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63"/>
      <c r="N55" s="63"/>
      <c r="O55" s="1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3"/>
      <c r="AB55" s="114" t="s">
        <v>141</v>
      </c>
      <c r="AC55" s="114" t="s">
        <v>142</v>
      </c>
      <c r="AD55" s="115" t="s">
        <v>143</v>
      </c>
      <c r="AE55" s="14"/>
    </row>
    <row r="56" spans="1:31">
      <c r="A56" s="116" t="s">
        <v>144</v>
      </c>
      <c r="B56" s="71"/>
      <c r="C56" s="117" t="s">
        <v>145</v>
      </c>
      <c r="D56" s="71"/>
      <c r="E56" s="117" t="s">
        <v>146</v>
      </c>
      <c r="F56" s="71"/>
      <c r="G56" s="118" t="s">
        <v>147</v>
      </c>
      <c r="H56" s="71"/>
      <c r="I56" s="117" t="s">
        <v>148</v>
      </c>
      <c r="J56" s="71"/>
      <c r="K56" s="117" t="s">
        <v>149</v>
      </c>
      <c r="L56" s="71"/>
      <c r="M56" s="119"/>
      <c r="N56" s="119"/>
      <c r="O56" s="120" t="s">
        <v>150</v>
      </c>
      <c r="P56" s="13"/>
      <c r="Q56" s="14"/>
      <c r="R56" s="103" t="s">
        <v>77</v>
      </c>
      <c r="S56" s="13"/>
      <c r="T56" s="13"/>
      <c r="U56" s="14"/>
      <c r="V56" s="103" t="s">
        <v>151</v>
      </c>
      <c r="W56" s="13"/>
      <c r="X56" s="14"/>
      <c r="Y56" s="103" t="s">
        <v>152</v>
      </c>
      <c r="Z56" s="14"/>
      <c r="AA56" s="63"/>
      <c r="AB56" s="121">
        <v>1272</v>
      </c>
      <c r="AC56" s="121">
        <v>2</v>
      </c>
      <c r="AD56" s="67">
        <f>AC56/AB56</f>
        <v>0.00157232704402516</v>
      </c>
      <c r="AE56" s="41"/>
    </row>
    <row r="57" spans="1:31">
      <c r="A57" s="116" t="s">
        <v>153</v>
      </c>
      <c r="B57" s="71"/>
      <c r="C57" s="117"/>
      <c r="D57" s="71"/>
      <c r="E57" s="117"/>
      <c r="F57" s="71"/>
      <c r="G57" s="117"/>
      <c r="H57" s="71"/>
      <c r="I57" s="117"/>
      <c r="J57" s="71"/>
      <c r="K57" s="122"/>
      <c r="L57" s="71"/>
      <c r="M57" s="63"/>
      <c r="N57" s="63"/>
      <c r="O57" s="27"/>
      <c r="P57" s="55"/>
      <c r="Q57" s="41"/>
      <c r="R57" s="123"/>
      <c r="S57" s="55"/>
      <c r="T57" s="55"/>
      <c r="U57" s="124"/>
      <c r="V57" s="125"/>
      <c r="W57" s="55"/>
      <c r="X57" s="124"/>
      <c r="Y57" s="126"/>
      <c r="Z57" s="41"/>
      <c r="AA57" s="63"/>
      <c r="AB57" s="29"/>
      <c r="AC57" s="29"/>
      <c r="AD57" s="64"/>
      <c r="AE57" s="65"/>
    </row>
    <row r="58" spans="1:31">
      <c r="A58" s="116" t="s">
        <v>154</v>
      </c>
      <c r="B58" s="71"/>
      <c r="C58" s="117"/>
      <c r="D58" s="71"/>
      <c r="E58" s="117"/>
      <c r="F58" s="71"/>
      <c r="G58" s="117"/>
      <c r="H58" s="71"/>
      <c r="I58" s="117"/>
      <c r="J58" s="71"/>
      <c r="K58" s="122"/>
      <c r="L58" s="71"/>
      <c r="M58" s="63"/>
      <c r="N58" s="63"/>
      <c r="O58" s="64"/>
      <c r="P58" s="11"/>
      <c r="Q58" s="65"/>
      <c r="R58" s="64"/>
      <c r="S58" s="11"/>
      <c r="T58" s="11"/>
      <c r="U58" s="127"/>
      <c r="V58" s="128"/>
      <c r="W58" s="11"/>
      <c r="X58" s="127"/>
      <c r="Y58" s="128"/>
      <c r="Z58" s="65"/>
      <c r="AA58" s="63"/>
      <c r="AB58" s="129"/>
      <c r="AC58" s="13"/>
      <c r="AD58" s="13"/>
      <c r="AE58" s="14"/>
    </row>
    <row r="59" ht="28" customHeight="1" spans="1:31">
      <c r="A59" s="130"/>
      <c r="B59" s="130"/>
      <c r="C59" s="116" t="s">
        <v>145</v>
      </c>
      <c r="D59" s="71"/>
      <c r="E59" s="117" t="s">
        <v>155</v>
      </c>
      <c r="F59" s="71"/>
      <c r="G59" s="118" t="s">
        <v>147</v>
      </c>
      <c r="H59" s="71"/>
      <c r="I59" s="117" t="s">
        <v>148</v>
      </c>
      <c r="J59" s="71"/>
      <c r="K59" s="117" t="s">
        <v>149</v>
      </c>
      <c r="L59" s="71"/>
      <c r="M59" s="119"/>
      <c r="N59" s="119"/>
      <c r="O59" s="131" t="s">
        <v>156</v>
      </c>
      <c r="P59" s="13"/>
      <c r="Q59" s="13"/>
      <c r="R59" s="14"/>
      <c r="S59" s="103" t="s">
        <v>157</v>
      </c>
      <c r="T59" s="13"/>
      <c r="U59" s="14"/>
      <c r="V59" s="103" t="s">
        <v>158</v>
      </c>
      <c r="W59" s="13"/>
      <c r="X59" s="13"/>
      <c r="Y59" s="13"/>
      <c r="Z59" s="14"/>
      <c r="AA59" s="63"/>
      <c r="AB59" s="115" t="s">
        <v>159</v>
      </c>
      <c r="AC59" s="115" t="s">
        <v>160</v>
      </c>
      <c r="AD59" s="115" t="s">
        <v>161</v>
      </c>
      <c r="AE59" s="14"/>
    </row>
    <row r="60" spans="1:31">
      <c r="A60" s="116" t="s">
        <v>162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131"/>
      <c r="P60" s="55"/>
      <c r="Q60" s="55"/>
      <c r="R60" s="41"/>
      <c r="S60" s="103">
        <v>0</v>
      </c>
      <c r="T60" s="55"/>
      <c r="U60" s="41"/>
      <c r="V60" s="132"/>
      <c r="W60" s="94"/>
      <c r="X60" s="94"/>
      <c r="Y60" s="94"/>
      <c r="Z60" s="95"/>
      <c r="AA60" s="63"/>
      <c r="AB60" s="103">
        <v>14100</v>
      </c>
      <c r="AC60" s="103">
        <f>S60</f>
        <v>0</v>
      </c>
      <c r="AD60" s="67">
        <f>AC60/AB60</f>
        <v>0</v>
      </c>
      <c r="AE60" s="41"/>
    </row>
    <row r="61" spans="1:31">
      <c r="A61" s="116" t="s">
        <v>163</v>
      </c>
      <c r="B61" s="71"/>
      <c r="C61" s="117"/>
      <c r="D61" s="71"/>
      <c r="E61" s="117"/>
      <c r="F61" s="71"/>
      <c r="G61" s="117"/>
      <c r="H61" s="71"/>
      <c r="I61" s="117"/>
      <c r="J61" s="71"/>
      <c r="K61" s="122"/>
      <c r="L61" s="71"/>
      <c r="M61" s="63"/>
      <c r="N61" s="63"/>
      <c r="O61" s="128"/>
      <c r="P61" s="11"/>
      <c r="Q61" s="11"/>
      <c r="R61" s="65"/>
      <c r="S61" s="64"/>
      <c r="T61" s="11"/>
      <c r="U61" s="65"/>
      <c r="V61" s="96"/>
      <c r="W61" s="97"/>
      <c r="X61" s="97"/>
      <c r="Y61" s="97"/>
      <c r="Z61" s="98"/>
      <c r="AA61" s="63"/>
      <c r="AB61" s="29"/>
      <c r="AC61" s="29"/>
      <c r="AD61" s="64"/>
      <c r="AE61" s="65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133"/>
      <c r="N62" s="63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63"/>
      <c r="AB62" s="134"/>
      <c r="AC62" s="134"/>
      <c r="AD62" s="135"/>
      <c r="AE62" s="135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133"/>
      <c r="N63" s="63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63"/>
      <c r="AB63" s="134"/>
      <c r="AC63" s="134"/>
      <c r="AD63" s="135"/>
      <c r="AE63" s="135"/>
    </row>
    <row r="64" spans="1:3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</row>
    <row r="65" ht="21" customHeight="1" spans="1:31">
      <c r="A65" s="1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6" t="s">
        <v>166</v>
      </c>
      <c r="B66" s="136" t="s">
        <v>167</v>
      </c>
      <c r="C66" s="136" t="s">
        <v>168</v>
      </c>
      <c r="D66" s="137" t="s">
        <v>169</v>
      </c>
      <c r="E66" s="136" t="s">
        <v>170</v>
      </c>
      <c r="F66" s="136" t="s">
        <v>171</v>
      </c>
      <c r="G66" s="14"/>
      <c r="H66" s="136" t="s">
        <v>172</v>
      </c>
      <c r="I66" s="136" t="s">
        <v>173</v>
      </c>
      <c r="J66" s="136" t="s">
        <v>174</v>
      </c>
      <c r="K66" s="136" t="s">
        <v>171</v>
      </c>
      <c r="L66" s="136" t="s">
        <v>175</v>
      </c>
      <c r="M66" s="136" t="s">
        <v>176</v>
      </c>
      <c r="N66" s="136" t="s">
        <v>177</v>
      </c>
      <c r="O66" s="136" t="s">
        <v>178</v>
      </c>
      <c r="P66" s="136" t="s">
        <v>179</v>
      </c>
      <c r="Q66" s="136" t="s">
        <v>177</v>
      </c>
      <c r="R66" s="136" t="s">
        <v>180</v>
      </c>
      <c r="S66" s="136" t="s">
        <v>181</v>
      </c>
      <c r="T66" s="14"/>
      <c r="U66" s="136" t="s">
        <v>170</v>
      </c>
      <c r="V66" s="136" t="s">
        <v>171</v>
      </c>
      <c r="W66" s="136" t="s">
        <v>182</v>
      </c>
      <c r="X66" s="136" t="s">
        <v>183</v>
      </c>
      <c r="Y66" s="136" t="s">
        <v>184</v>
      </c>
      <c r="Z66" s="136" t="s">
        <v>185</v>
      </c>
      <c r="AA66" s="136" t="s">
        <v>186</v>
      </c>
      <c r="AB66" s="136" t="s">
        <v>187</v>
      </c>
      <c r="AC66" s="136" t="s">
        <v>188</v>
      </c>
      <c r="AD66" s="136" t="s">
        <v>189</v>
      </c>
      <c r="AE66" s="136" t="s">
        <v>190</v>
      </c>
    </row>
    <row r="67" spans="1:31">
      <c r="A67" s="138" t="s">
        <v>191</v>
      </c>
      <c r="B67" s="139" t="s">
        <v>192</v>
      </c>
      <c r="C67" s="138" t="s">
        <v>193</v>
      </c>
      <c r="D67" s="140"/>
      <c r="E67" s="138"/>
      <c r="F67" s="141">
        <f>E67/3150</f>
        <v>0</v>
      </c>
      <c r="G67" s="142"/>
      <c r="H67" s="143" t="s">
        <v>194</v>
      </c>
      <c r="I67" s="144" t="s">
        <v>195</v>
      </c>
      <c r="J67" s="138"/>
      <c r="K67" s="145">
        <f>J67/300</f>
        <v>0</v>
      </c>
      <c r="L67" s="138" t="s">
        <v>193</v>
      </c>
      <c r="M67" s="138"/>
      <c r="N67" s="138"/>
      <c r="O67" s="146" t="s">
        <v>196</v>
      </c>
      <c r="P67" s="147"/>
      <c r="Q67" s="147"/>
      <c r="R67" s="148"/>
      <c r="S67" s="149" t="s">
        <v>197</v>
      </c>
      <c r="T67" s="150"/>
      <c r="U67" s="151">
        <f>R67*0.935</f>
        <v>0</v>
      </c>
      <c r="V67" s="152">
        <f>U67/215</f>
        <v>0</v>
      </c>
      <c r="W67" s="143">
        <v>202</v>
      </c>
      <c r="X67" s="153">
        <f>SUM(U67:U86)</f>
        <v>0</v>
      </c>
      <c r="Y67" s="145">
        <f>X67/2350</f>
        <v>0</v>
      </c>
      <c r="Z67" s="138">
        <v>220</v>
      </c>
      <c r="AA67" s="138">
        <v>0</v>
      </c>
      <c r="AB67" s="145">
        <f>AA67/Z67</f>
        <v>0</v>
      </c>
      <c r="AC67" s="138">
        <v>20</v>
      </c>
      <c r="AD67" s="138">
        <v>0</v>
      </c>
      <c r="AE67" s="138" t="s">
        <v>198</v>
      </c>
    </row>
    <row r="68" spans="1:31">
      <c r="A68" s="54"/>
      <c r="B68" s="154"/>
      <c r="C68" s="54"/>
      <c r="D68" s="54"/>
      <c r="E68" s="54"/>
      <c r="F68" s="155"/>
      <c r="G68" s="156"/>
      <c r="H68" s="54"/>
      <c r="I68" s="154"/>
      <c r="J68" s="54"/>
      <c r="K68" s="157"/>
      <c r="L68" s="54"/>
      <c r="M68" s="54"/>
      <c r="N68" s="54"/>
      <c r="O68" s="146" t="s">
        <v>199</v>
      </c>
      <c r="P68" s="147"/>
      <c r="Q68" s="147"/>
      <c r="R68" s="148"/>
      <c r="S68" s="149" t="s">
        <v>200</v>
      </c>
      <c r="T68" s="150"/>
      <c r="U68" s="151">
        <f t="shared" ref="U68:U99" si="0">R68*0.935</f>
        <v>0</v>
      </c>
      <c r="V68" s="152">
        <f t="shared" ref="V68:V99" si="1">U68/215</f>
        <v>0</v>
      </c>
      <c r="W68" s="158"/>
      <c r="X68" s="159"/>
      <c r="Y68" s="157"/>
      <c r="Z68" s="160"/>
      <c r="AA68" s="160"/>
      <c r="AB68" s="157"/>
      <c r="AC68" s="160"/>
      <c r="AD68" s="160"/>
      <c r="AE68" s="54"/>
    </row>
    <row r="69" spans="1:31">
      <c r="A69" s="54"/>
      <c r="B69" s="154"/>
      <c r="C69" s="54"/>
      <c r="D69" s="54"/>
      <c r="E69" s="54"/>
      <c r="F69" s="155"/>
      <c r="G69" s="156"/>
      <c r="H69" s="54"/>
      <c r="I69" s="154"/>
      <c r="J69" s="54"/>
      <c r="K69" s="157"/>
      <c r="L69" s="54"/>
      <c r="M69" s="54"/>
      <c r="N69" s="54"/>
      <c r="O69" s="146" t="s">
        <v>201</v>
      </c>
      <c r="P69" s="147"/>
      <c r="Q69" s="147"/>
      <c r="R69" s="148"/>
      <c r="S69" s="149" t="s">
        <v>202</v>
      </c>
      <c r="T69" s="150"/>
      <c r="U69" s="151">
        <f t="shared" si="0"/>
        <v>0</v>
      </c>
      <c r="V69" s="152">
        <f t="shared" si="1"/>
        <v>0</v>
      </c>
      <c r="W69" s="158"/>
      <c r="X69" s="159"/>
      <c r="Y69" s="157"/>
      <c r="Z69" s="160"/>
      <c r="AA69" s="160"/>
      <c r="AB69" s="157"/>
      <c r="AC69" s="160"/>
      <c r="AD69" s="160"/>
      <c r="AE69" s="54"/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203</v>
      </c>
      <c r="P70" s="147"/>
      <c r="Q70" s="147"/>
      <c r="R70" s="148"/>
      <c r="S70" s="149" t="s">
        <v>204</v>
      </c>
      <c r="T70" s="150"/>
      <c r="U70" s="151">
        <f t="shared" si="0"/>
        <v>0</v>
      </c>
      <c r="V70" s="152">
        <f t="shared" si="1"/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205</v>
      </c>
      <c r="P71" s="147"/>
      <c r="Q71" s="147"/>
      <c r="R71" s="148"/>
      <c r="S71" s="149" t="s">
        <v>206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207</v>
      </c>
      <c r="P72" s="147"/>
      <c r="Q72" s="147"/>
      <c r="R72" s="148"/>
      <c r="S72" s="149" t="s">
        <v>208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138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209</v>
      </c>
      <c r="P73" s="147"/>
      <c r="Q73" s="147"/>
      <c r="R73" s="148"/>
      <c r="S73" s="149" t="s">
        <v>210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211</v>
      </c>
      <c r="P74" s="147"/>
      <c r="Q74" s="147"/>
      <c r="R74" s="148"/>
      <c r="S74" s="149" t="s">
        <v>212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54"/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213</v>
      </c>
      <c r="P75" s="147"/>
      <c r="Q75" s="147"/>
      <c r="R75" s="148"/>
      <c r="S75" s="149" t="s">
        <v>214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29"/>
      <c r="E76" s="54"/>
      <c r="F76" s="161"/>
      <c r="G76" s="162"/>
      <c r="H76" s="54"/>
      <c r="I76" s="154"/>
      <c r="J76" s="54"/>
      <c r="K76" s="157"/>
      <c r="L76" s="54"/>
      <c r="M76" s="54"/>
      <c r="N76" s="54"/>
      <c r="O76" s="146" t="s">
        <v>215</v>
      </c>
      <c r="P76" s="147"/>
      <c r="Q76" s="147"/>
      <c r="R76" s="148"/>
      <c r="S76" s="149" t="s">
        <v>216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39" t="s">
        <v>217</v>
      </c>
      <c r="C77" s="138" t="s">
        <v>193</v>
      </c>
      <c r="D77" s="140"/>
      <c r="E77" s="138"/>
      <c r="F77" s="141">
        <f>E77/3150</f>
        <v>0</v>
      </c>
      <c r="G77" s="142"/>
      <c r="H77" s="143" t="s">
        <v>194</v>
      </c>
      <c r="I77" s="154"/>
      <c r="J77" s="54"/>
      <c r="K77" s="157"/>
      <c r="L77" s="54"/>
      <c r="M77" s="54"/>
      <c r="N77" s="54"/>
      <c r="O77" s="146" t="s">
        <v>218</v>
      </c>
      <c r="P77" s="147"/>
      <c r="Q77" s="147"/>
      <c r="R77" s="148"/>
      <c r="S77" s="163" t="s">
        <v>219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147" t="s">
        <v>220</v>
      </c>
    </row>
    <row r="78" spans="1:31">
      <c r="A78" s="54"/>
      <c r="B78" s="154"/>
      <c r="C78" s="54"/>
      <c r="D78" s="54"/>
      <c r="E78" s="54"/>
      <c r="F78" s="155"/>
      <c r="G78" s="156"/>
      <c r="H78" s="54"/>
      <c r="I78" s="154"/>
      <c r="J78" s="54"/>
      <c r="K78" s="157"/>
      <c r="L78" s="54"/>
      <c r="M78" s="54"/>
      <c r="N78" s="54"/>
      <c r="O78" s="146" t="s">
        <v>221</v>
      </c>
      <c r="P78" s="147"/>
      <c r="Q78" s="147"/>
      <c r="R78" s="148"/>
      <c r="S78" s="163" t="s">
        <v>222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54"/>
      <c r="C79" s="54"/>
      <c r="D79" s="54"/>
      <c r="E79" s="54"/>
      <c r="F79" s="155"/>
      <c r="G79" s="156"/>
      <c r="H79" s="54"/>
      <c r="I79" s="154"/>
      <c r="J79" s="54"/>
      <c r="K79" s="157"/>
      <c r="L79" s="54"/>
      <c r="M79" s="54"/>
      <c r="N79" s="54"/>
      <c r="O79" s="146" t="s">
        <v>223</v>
      </c>
      <c r="P79" s="147"/>
      <c r="Q79" s="147"/>
      <c r="R79" s="148"/>
      <c r="S79" s="163" t="s">
        <v>224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54"/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225</v>
      </c>
      <c r="P80" s="147"/>
      <c r="Q80" s="147"/>
      <c r="R80" s="148"/>
      <c r="S80" s="163" t="s">
        <v>226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227</v>
      </c>
      <c r="P81" s="147"/>
      <c r="Q81" s="147"/>
      <c r="R81" s="148"/>
      <c r="S81" s="163" t="s">
        <v>228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29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229</v>
      </c>
      <c r="P82" s="147"/>
      <c r="Q82" s="147"/>
      <c r="R82" s="148"/>
      <c r="S82" s="163" t="s">
        <v>230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138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231</v>
      </c>
      <c r="P83" s="147"/>
      <c r="Q83" s="147"/>
      <c r="R83" s="148"/>
      <c r="S83" s="163" t="s">
        <v>232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54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233</v>
      </c>
      <c r="P84" s="147"/>
      <c r="Q84" s="147"/>
      <c r="R84" s="148"/>
      <c r="S84" s="163" t="s">
        <v>234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54"/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235</v>
      </c>
      <c r="P85" s="147"/>
      <c r="Q85" s="147"/>
      <c r="R85" s="148"/>
      <c r="S85" s="163" t="s">
        <v>236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29"/>
      <c r="E86" s="54"/>
      <c r="F86" s="161"/>
      <c r="G86" s="162"/>
      <c r="H86" s="54"/>
      <c r="I86" s="154"/>
      <c r="J86" s="54"/>
      <c r="K86" s="157"/>
      <c r="L86" s="54"/>
      <c r="M86" s="54"/>
      <c r="N86" s="54"/>
      <c r="O86" s="146" t="s">
        <v>237</v>
      </c>
      <c r="P86" s="147"/>
      <c r="Q86" s="147"/>
      <c r="R86" s="148"/>
      <c r="S86" s="163" t="s">
        <v>238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138" t="s">
        <v>239</v>
      </c>
      <c r="B87" s="139" t="s">
        <v>240</v>
      </c>
      <c r="C87" s="138" t="s">
        <v>193</v>
      </c>
      <c r="D87" s="140"/>
      <c r="E87" s="138"/>
      <c r="F87" s="141">
        <f>E87/3150</f>
        <v>0</v>
      </c>
      <c r="G87" s="142"/>
      <c r="H87" s="143" t="s">
        <v>194</v>
      </c>
      <c r="I87" s="164" t="s">
        <v>241</v>
      </c>
      <c r="J87" s="138"/>
      <c r="K87" s="145">
        <f>J87/300</f>
        <v>0</v>
      </c>
      <c r="L87" s="138" t="s">
        <v>193</v>
      </c>
      <c r="M87" s="138"/>
      <c r="N87" s="138"/>
      <c r="O87" s="146" t="s">
        <v>242</v>
      </c>
      <c r="P87" s="147"/>
      <c r="Q87" s="147"/>
      <c r="R87" s="148"/>
      <c r="S87" s="149" t="s">
        <v>243</v>
      </c>
      <c r="T87" s="150"/>
      <c r="U87" s="151">
        <f t="shared" si="0"/>
        <v>0</v>
      </c>
      <c r="V87" s="152">
        <f t="shared" si="1"/>
        <v>0</v>
      </c>
      <c r="W87" s="143">
        <v>201</v>
      </c>
      <c r="X87" s="153">
        <f>SUM(U87:U106)</f>
        <v>0</v>
      </c>
      <c r="Y87" s="145">
        <f>X87/2350</f>
        <v>0</v>
      </c>
      <c r="Z87" s="138">
        <v>170</v>
      </c>
      <c r="AA87" s="138">
        <v>0</v>
      </c>
      <c r="AB87" s="145">
        <f>AA87/Z87</f>
        <v>0</v>
      </c>
      <c r="AC87" s="138">
        <v>20</v>
      </c>
      <c r="AD87" s="138">
        <v>0</v>
      </c>
      <c r="AE87" s="138" t="s">
        <v>198</v>
      </c>
    </row>
    <row r="88" spans="1:31">
      <c r="A88" s="54"/>
      <c r="B88" s="154"/>
      <c r="C88" s="54"/>
      <c r="D88" s="54"/>
      <c r="E88" s="54"/>
      <c r="F88" s="155"/>
      <c r="G88" s="156"/>
      <c r="H88" s="54"/>
      <c r="I88" s="154"/>
      <c r="J88" s="54"/>
      <c r="K88" s="157"/>
      <c r="L88" s="54"/>
      <c r="M88" s="54"/>
      <c r="N88" s="54"/>
      <c r="O88" s="146" t="s">
        <v>244</v>
      </c>
      <c r="P88" s="147"/>
      <c r="Q88" s="147"/>
      <c r="R88" s="148"/>
      <c r="S88" s="149" t="s">
        <v>245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54"/>
    </row>
    <row r="89" spans="1:31">
      <c r="A89" s="54"/>
      <c r="B89" s="154"/>
      <c r="C89" s="54"/>
      <c r="D89" s="54"/>
      <c r="E89" s="54"/>
      <c r="F89" s="155"/>
      <c r="G89" s="156"/>
      <c r="H89" s="54"/>
      <c r="I89" s="154"/>
      <c r="J89" s="54"/>
      <c r="K89" s="157"/>
      <c r="L89" s="54"/>
      <c r="M89" s="54"/>
      <c r="N89" s="54"/>
      <c r="O89" s="146" t="s">
        <v>246</v>
      </c>
      <c r="P89" s="147"/>
      <c r="Q89" s="147"/>
      <c r="R89" s="148"/>
      <c r="S89" s="149" t="s">
        <v>247</v>
      </c>
      <c r="T89" s="150"/>
      <c r="U89" s="151">
        <f t="shared" si="0"/>
        <v>0</v>
      </c>
      <c r="V89" s="152">
        <f t="shared" si="1"/>
        <v>0</v>
      </c>
      <c r="W89" s="158"/>
      <c r="X89" s="159"/>
      <c r="Y89" s="157"/>
      <c r="Z89" s="160"/>
      <c r="AA89" s="160"/>
      <c r="AB89" s="157"/>
      <c r="AC89" s="160"/>
      <c r="AD89" s="160"/>
      <c r="AE89" s="54"/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248</v>
      </c>
      <c r="P90" s="147"/>
      <c r="Q90" s="147"/>
      <c r="R90" s="148"/>
      <c r="S90" s="149" t="s">
        <v>249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250</v>
      </c>
      <c r="P91" s="147"/>
      <c r="Q91" s="147"/>
      <c r="R91" s="148"/>
      <c r="S91" s="149" t="s">
        <v>251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252</v>
      </c>
      <c r="P92" s="147"/>
      <c r="Q92" s="147"/>
      <c r="R92" s="148"/>
      <c r="S92" s="149" t="s">
        <v>253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138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254</v>
      </c>
      <c r="P93" s="147"/>
      <c r="Q93" s="147"/>
      <c r="R93" s="148"/>
      <c r="S93" s="149" t="s">
        <v>255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256</v>
      </c>
      <c r="P94" s="147"/>
      <c r="Q94" s="147"/>
      <c r="R94" s="148"/>
      <c r="S94" s="149" t="s">
        <v>257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54"/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258</v>
      </c>
      <c r="P95" s="147"/>
      <c r="Q95" s="147"/>
      <c r="R95" s="148"/>
      <c r="S95" s="149" t="s">
        <v>259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29"/>
      <c r="E96" s="54"/>
      <c r="F96" s="161"/>
      <c r="G96" s="162"/>
      <c r="H96" s="54"/>
      <c r="I96" s="154"/>
      <c r="J96" s="54"/>
      <c r="K96" s="157"/>
      <c r="L96" s="54"/>
      <c r="M96" s="54"/>
      <c r="N96" s="54"/>
      <c r="O96" s="146" t="s">
        <v>260</v>
      </c>
      <c r="P96" s="147"/>
      <c r="Q96" s="147"/>
      <c r="R96" s="148"/>
      <c r="S96" s="149" t="s">
        <v>261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39" t="s">
        <v>262</v>
      </c>
      <c r="C97" s="138" t="s">
        <v>193</v>
      </c>
      <c r="D97" s="140"/>
      <c r="E97" s="138"/>
      <c r="F97" s="141">
        <f>E97/3150</f>
        <v>0</v>
      </c>
      <c r="G97" s="142"/>
      <c r="H97" s="143" t="s">
        <v>194</v>
      </c>
      <c r="I97" s="154"/>
      <c r="J97" s="54"/>
      <c r="K97" s="157"/>
      <c r="L97" s="54"/>
      <c r="M97" s="54"/>
      <c r="N97" s="54"/>
      <c r="O97" s="146" t="s">
        <v>263</v>
      </c>
      <c r="P97" s="147"/>
      <c r="Q97" s="147"/>
      <c r="R97" s="148"/>
      <c r="S97" s="163" t="s">
        <v>264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147" t="s">
        <v>220</v>
      </c>
    </row>
    <row r="98" spans="1:31">
      <c r="A98" s="54"/>
      <c r="B98" s="154"/>
      <c r="C98" s="54"/>
      <c r="D98" s="54"/>
      <c r="E98" s="54"/>
      <c r="F98" s="155"/>
      <c r="G98" s="156"/>
      <c r="H98" s="54"/>
      <c r="I98" s="154"/>
      <c r="J98" s="54"/>
      <c r="K98" s="157"/>
      <c r="L98" s="54"/>
      <c r="M98" s="54"/>
      <c r="N98" s="54"/>
      <c r="O98" s="146" t="s">
        <v>265</v>
      </c>
      <c r="P98" s="147"/>
      <c r="Q98" s="147"/>
      <c r="R98" s="148"/>
      <c r="S98" s="163" t="s">
        <v>266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54"/>
      <c r="C99" s="54"/>
      <c r="D99" s="54"/>
      <c r="E99" s="54"/>
      <c r="F99" s="155"/>
      <c r="G99" s="156"/>
      <c r="H99" s="54"/>
      <c r="I99" s="154"/>
      <c r="J99" s="54"/>
      <c r="K99" s="157"/>
      <c r="L99" s="54"/>
      <c r="M99" s="54"/>
      <c r="N99" s="54"/>
      <c r="O99" s="146" t="s">
        <v>267</v>
      </c>
      <c r="P99" s="147"/>
      <c r="Q99" s="147"/>
      <c r="R99" s="148"/>
      <c r="S99" s="163" t="s">
        <v>268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54"/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269</v>
      </c>
      <c r="P100" s="147"/>
      <c r="Q100" s="147"/>
      <c r="R100" s="148"/>
      <c r="S100" s="163" t="s">
        <v>270</v>
      </c>
      <c r="T100" s="150"/>
      <c r="U100" s="151">
        <f t="shared" ref="U100:U131" si="2">R100*0.935</f>
        <v>0</v>
      </c>
      <c r="V100" s="152">
        <f t="shared" ref="V100:V131" si="3">U100/215</f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271</v>
      </c>
      <c r="P101" s="147"/>
      <c r="Q101" s="147"/>
      <c r="R101" s="148"/>
      <c r="S101" s="163" t="s">
        <v>272</v>
      </c>
      <c r="T101" s="150"/>
      <c r="U101" s="151">
        <f t="shared" si="2"/>
        <v>0</v>
      </c>
      <c r="V101" s="152">
        <f t="shared" si="3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29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273</v>
      </c>
      <c r="P102" s="147"/>
      <c r="Q102" s="147"/>
      <c r="R102" s="148"/>
      <c r="S102" s="163" t="s">
        <v>274</v>
      </c>
      <c r="T102" s="150"/>
      <c r="U102" s="151">
        <f t="shared" si="2"/>
        <v>0</v>
      </c>
      <c r="V102" s="152">
        <f t="shared" si="3"/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138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275</v>
      </c>
      <c r="P103" s="147"/>
      <c r="Q103" s="147"/>
      <c r="R103" s="148"/>
      <c r="S103" s="163" t="s">
        <v>276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54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277</v>
      </c>
      <c r="P104" s="147"/>
      <c r="Q104" s="147"/>
      <c r="R104" s="148"/>
      <c r="S104" s="163" t="s">
        <v>278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54"/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279</v>
      </c>
      <c r="P105" s="147"/>
      <c r="Q105" s="147"/>
      <c r="R105" s="148"/>
      <c r="S105" s="163" t="s">
        <v>280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29"/>
      <c r="E106" s="54"/>
      <c r="F106" s="161"/>
      <c r="G106" s="162"/>
      <c r="H106" s="54"/>
      <c r="I106" s="154"/>
      <c r="J106" s="54"/>
      <c r="K106" s="157"/>
      <c r="L106" s="54"/>
      <c r="M106" s="54"/>
      <c r="N106" s="54"/>
      <c r="O106" s="146" t="s">
        <v>281</v>
      </c>
      <c r="P106" s="147"/>
      <c r="Q106" s="147"/>
      <c r="R106" s="148"/>
      <c r="S106" s="163" t="s">
        <v>282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138" t="s">
        <v>283</v>
      </c>
      <c r="B107" s="165" t="s">
        <v>284</v>
      </c>
      <c r="C107" s="147" t="s">
        <v>193</v>
      </c>
      <c r="D107" s="140"/>
      <c r="E107" s="138"/>
      <c r="F107" s="141">
        <f>E107/3150</f>
        <v>0</v>
      </c>
      <c r="G107" s="142"/>
      <c r="H107" s="121" t="s">
        <v>194</v>
      </c>
      <c r="I107" s="144" t="s">
        <v>285</v>
      </c>
      <c r="J107" s="138"/>
      <c r="K107" s="145">
        <f>J107/300</f>
        <v>0</v>
      </c>
      <c r="L107" s="138" t="s">
        <v>193</v>
      </c>
      <c r="M107" s="138"/>
      <c r="N107" s="138"/>
      <c r="O107" s="146" t="s">
        <v>286</v>
      </c>
      <c r="P107" s="147"/>
      <c r="Q107" s="147"/>
      <c r="R107" s="148"/>
      <c r="S107" s="149" t="s">
        <v>287</v>
      </c>
      <c r="T107" s="150"/>
      <c r="U107" s="151">
        <f t="shared" si="2"/>
        <v>0</v>
      </c>
      <c r="V107" s="152">
        <f t="shared" si="3"/>
        <v>0</v>
      </c>
      <c r="W107" s="143">
        <v>302</v>
      </c>
      <c r="X107" s="153">
        <f>SUM(U107:U126)</f>
        <v>0</v>
      </c>
      <c r="Y107" s="145">
        <f>X107/2350</f>
        <v>0</v>
      </c>
      <c r="Z107" s="138">
        <v>154</v>
      </c>
      <c r="AA107" s="138">
        <v>9</v>
      </c>
      <c r="AB107" s="145">
        <f>AA107/Z107</f>
        <v>0.0584415584415584</v>
      </c>
      <c r="AC107" s="138">
        <v>20</v>
      </c>
      <c r="AD107" s="138">
        <v>0</v>
      </c>
      <c r="AE107" s="138" t="s">
        <v>198</v>
      </c>
    </row>
    <row r="108" spans="1:31">
      <c r="A108" s="54"/>
      <c r="B108" s="154"/>
      <c r="C108" s="54"/>
      <c r="D108" s="54"/>
      <c r="E108" s="54"/>
      <c r="F108" s="155"/>
      <c r="G108" s="156"/>
      <c r="H108" s="54"/>
      <c r="I108" s="154"/>
      <c r="J108" s="54"/>
      <c r="K108" s="157"/>
      <c r="L108" s="54"/>
      <c r="M108" s="54"/>
      <c r="N108" s="54"/>
      <c r="O108" s="146" t="s">
        <v>288</v>
      </c>
      <c r="P108" s="147"/>
      <c r="Q108" s="147"/>
      <c r="R108" s="148"/>
      <c r="S108" s="149" t="s">
        <v>289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54"/>
    </row>
    <row r="109" spans="1:31">
      <c r="A109" s="54"/>
      <c r="B109" s="154"/>
      <c r="C109" s="54"/>
      <c r="D109" s="54"/>
      <c r="E109" s="54"/>
      <c r="F109" s="155"/>
      <c r="G109" s="156"/>
      <c r="H109" s="54"/>
      <c r="I109" s="154"/>
      <c r="J109" s="54"/>
      <c r="K109" s="157"/>
      <c r="L109" s="54"/>
      <c r="M109" s="54"/>
      <c r="N109" s="54"/>
      <c r="O109" s="146" t="s">
        <v>290</v>
      </c>
      <c r="P109" s="147"/>
      <c r="Q109" s="147"/>
      <c r="R109" s="148"/>
      <c r="S109" s="149" t="s">
        <v>291</v>
      </c>
      <c r="T109" s="150"/>
      <c r="U109" s="151">
        <f t="shared" si="2"/>
        <v>0</v>
      </c>
      <c r="V109" s="152">
        <f t="shared" si="3"/>
        <v>0</v>
      </c>
      <c r="W109" s="158"/>
      <c r="X109" s="159"/>
      <c r="Y109" s="157"/>
      <c r="Z109" s="160"/>
      <c r="AA109" s="160"/>
      <c r="AB109" s="157"/>
      <c r="AC109" s="160"/>
      <c r="AD109" s="160"/>
      <c r="AE109" s="54"/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292</v>
      </c>
      <c r="P110" s="147"/>
      <c r="Q110" s="147"/>
      <c r="R110" s="148"/>
      <c r="S110" s="149" t="s">
        <v>293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294</v>
      </c>
      <c r="P111" s="147"/>
      <c r="Q111" s="147"/>
      <c r="R111" s="148"/>
      <c r="S111" s="149" t="s">
        <v>295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296</v>
      </c>
      <c r="P112" s="147"/>
      <c r="Q112" s="147"/>
      <c r="R112" s="148"/>
      <c r="S112" s="149" t="s">
        <v>297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138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298</v>
      </c>
      <c r="P113" s="147"/>
      <c r="Q113" s="147"/>
      <c r="R113" s="148"/>
      <c r="S113" s="149" t="s">
        <v>299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300</v>
      </c>
      <c r="P114" s="147"/>
      <c r="Q114" s="147"/>
      <c r="R114" s="148"/>
      <c r="S114" s="149" t="s">
        <v>301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54"/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302</v>
      </c>
      <c r="P115" s="147"/>
      <c r="Q115" s="147"/>
      <c r="R115" s="148"/>
      <c r="S115" s="149" t="s">
        <v>303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66"/>
      <c r="C116" s="29"/>
      <c r="D116" s="29"/>
      <c r="E116" s="54"/>
      <c r="F116" s="161"/>
      <c r="G116" s="162"/>
      <c r="H116" s="29"/>
      <c r="I116" s="154"/>
      <c r="J116" s="54"/>
      <c r="K116" s="157"/>
      <c r="L116" s="54"/>
      <c r="M116" s="54"/>
      <c r="N116" s="54"/>
      <c r="O116" s="146" t="s">
        <v>304</v>
      </c>
      <c r="P116" s="147"/>
      <c r="Q116" s="147"/>
      <c r="R116" s="148"/>
      <c r="S116" s="149" t="s">
        <v>305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65" t="s">
        <v>306</v>
      </c>
      <c r="C117" s="147" t="s">
        <v>193</v>
      </c>
      <c r="D117" s="140"/>
      <c r="E117" s="138"/>
      <c r="F117" s="141">
        <f>E117/3150</f>
        <v>0</v>
      </c>
      <c r="G117" s="142"/>
      <c r="H117" s="121" t="s">
        <v>194</v>
      </c>
      <c r="I117" s="154"/>
      <c r="J117" s="54"/>
      <c r="K117" s="157"/>
      <c r="L117" s="54"/>
      <c r="M117" s="54"/>
      <c r="N117" s="54"/>
      <c r="O117" s="146" t="s">
        <v>307</v>
      </c>
      <c r="P117" s="147"/>
      <c r="Q117" s="147"/>
      <c r="R117" s="148"/>
      <c r="S117" s="163" t="s">
        <v>308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147" t="s">
        <v>220</v>
      </c>
    </row>
    <row r="118" spans="1:31">
      <c r="A118" s="54"/>
      <c r="B118" s="154"/>
      <c r="C118" s="54"/>
      <c r="D118" s="54"/>
      <c r="E118" s="54"/>
      <c r="F118" s="155"/>
      <c r="G118" s="156"/>
      <c r="H118" s="54"/>
      <c r="I118" s="154"/>
      <c r="J118" s="54"/>
      <c r="K118" s="157"/>
      <c r="L118" s="54"/>
      <c r="M118" s="54"/>
      <c r="N118" s="54"/>
      <c r="O118" s="146" t="s">
        <v>309</v>
      </c>
      <c r="P118" s="147"/>
      <c r="Q118" s="147"/>
      <c r="R118" s="148"/>
      <c r="S118" s="163" t="s">
        <v>310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54"/>
      <c r="C119" s="54"/>
      <c r="D119" s="54"/>
      <c r="E119" s="54"/>
      <c r="F119" s="155"/>
      <c r="G119" s="156"/>
      <c r="H119" s="54"/>
      <c r="I119" s="154"/>
      <c r="J119" s="54"/>
      <c r="K119" s="157"/>
      <c r="L119" s="54"/>
      <c r="M119" s="54"/>
      <c r="N119" s="54"/>
      <c r="O119" s="146" t="s">
        <v>311</v>
      </c>
      <c r="P119" s="147"/>
      <c r="Q119" s="147"/>
      <c r="R119" s="148"/>
      <c r="S119" s="163" t="s">
        <v>312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54"/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313</v>
      </c>
      <c r="P120" s="147"/>
      <c r="Q120" s="147"/>
      <c r="R120" s="148"/>
      <c r="S120" s="163" t="s">
        <v>314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315</v>
      </c>
      <c r="P121" s="147"/>
      <c r="Q121" s="147"/>
      <c r="R121" s="148"/>
      <c r="S121" s="163" t="s">
        <v>316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29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317</v>
      </c>
      <c r="P122" s="147"/>
      <c r="Q122" s="147"/>
      <c r="R122" s="148"/>
      <c r="S122" s="163" t="s">
        <v>318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138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319</v>
      </c>
      <c r="P123" s="147"/>
      <c r="Q123" s="147"/>
      <c r="R123" s="148"/>
      <c r="S123" s="163" t="s">
        <v>320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54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321</v>
      </c>
      <c r="P124" s="147"/>
      <c r="Q124" s="147"/>
      <c r="R124" s="148"/>
      <c r="S124" s="163" t="s">
        <v>322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54"/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323</v>
      </c>
      <c r="P125" s="147"/>
      <c r="Q125" s="147"/>
      <c r="R125" s="148"/>
      <c r="S125" s="163" t="s">
        <v>324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66"/>
      <c r="C126" s="29"/>
      <c r="D126" s="29"/>
      <c r="E126" s="54"/>
      <c r="F126" s="161"/>
      <c r="G126" s="162"/>
      <c r="H126" s="29"/>
      <c r="I126" s="154"/>
      <c r="J126" s="54"/>
      <c r="K126" s="157"/>
      <c r="L126" s="54"/>
      <c r="M126" s="54"/>
      <c r="N126" s="54"/>
      <c r="O126" s="146" t="s">
        <v>325</v>
      </c>
      <c r="P126" s="147"/>
      <c r="Q126" s="147"/>
      <c r="R126" s="148"/>
      <c r="S126" s="163" t="s">
        <v>326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138" t="s">
        <v>327</v>
      </c>
      <c r="B127" s="165" t="s">
        <v>328</v>
      </c>
      <c r="C127" s="147" t="s">
        <v>193</v>
      </c>
      <c r="D127" s="140"/>
      <c r="E127" s="138"/>
      <c r="F127" s="141">
        <f>E127/3150</f>
        <v>0</v>
      </c>
      <c r="G127" s="142"/>
      <c r="H127" s="121" t="s">
        <v>194</v>
      </c>
      <c r="I127" s="144" t="s">
        <v>329</v>
      </c>
      <c r="J127" s="138"/>
      <c r="K127" s="145">
        <f>J127/300</f>
        <v>0</v>
      </c>
      <c r="L127" s="138" t="s">
        <v>193</v>
      </c>
      <c r="M127" s="138"/>
      <c r="N127" s="138"/>
      <c r="O127" s="146" t="s">
        <v>330</v>
      </c>
      <c r="P127" s="147"/>
      <c r="Q127" s="147"/>
      <c r="R127" s="148"/>
      <c r="S127" s="149" t="s">
        <v>331</v>
      </c>
      <c r="T127" s="150"/>
      <c r="U127" s="151">
        <f t="shared" si="2"/>
        <v>0</v>
      </c>
      <c r="V127" s="152">
        <f t="shared" si="3"/>
        <v>0</v>
      </c>
      <c r="W127" s="143">
        <v>301</v>
      </c>
      <c r="X127" s="153">
        <f>SUM(U127:U146)</f>
        <v>0</v>
      </c>
      <c r="Y127" s="145">
        <f>X127/2350</f>
        <v>0</v>
      </c>
      <c r="Z127" s="138">
        <v>154</v>
      </c>
      <c r="AA127" s="138">
        <v>91</v>
      </c>
      <c r="AB127" s="145">
        <f>AA127/Z127</f>
        <v>0.590909090909091</v>
      </c>
      <c r="AC127" s="138">
        <v>20</v>
      </c>
      <c r="AD127" s="138">
        <v>0</v>
      </c>
      <c r="AE127" s="138" t="s">
        <v>198</v>
      </c>
    </row>
    <row r="128" spans="1:31">
      <c r="A128" s="54"/>
      <c r="B128" s="154"/>
      <c r="C128" s="54"/>
      <c r="D128" s="54"/>
      <c r="E128" s="54"/>
      <c r="F128" s="155"/>
      <c r="G128" s="156"/>
      <c r="H128" s="54"/>
      <c r="I128" s="154"/>
      <c r="J128" s="54"/>
      <c r="K128" s="157"/>
      <c r="L128" s="54"/>
      <c r="M128" s="54"/>
      <c r="N128" s="54"/>
      <c r="O128" s="146" t="s">
        <v>332</v>
      </c>
      <c r="P128" s="147"/>
      <c r="Q128" s="147"/>
      <c r="R128" s="148"/>
      <c r="S128" s="149" t="s">
        <v>333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54"/>
    </row>
    <row r="129" spans="1:31">
      <c r="A129" s="54"/>
      <c r="B129" s="154"/>
      <c r="C129" s="54"/>
      <c r="D129" s="54"/>
      <c r="E129" s="54"/>
      <c r="F129" s="155"/>
      <c r="G129" s="156"/>
      <c r="H129" s="54"/>
      <c r="I129" s="154"/>
      <c r="J129" s="54"/>
      <c r="K129" s="157"/>
      <c r="L129" s="54"/>
      <c r="M129" s="54"/>
      <c r="N129" s="54"/>
      <c r="O129" s="146" t="s">
        <v>334</v>
      </c>
      <c r="P129" s="147"/>
      <c r="Q129" s="147"/>
      <c r="R129" s="148"/>
      <c r="S129" s="149" t="s">
        <v>335</v>
      </c>
      <c r="T129" s="150"/>
      <c r="U129" s="151">
        <f t="shared" si="2"/>
        <v>0</v>
      </c>
      <c r="V129" s="152">
        <f t="shared" si="3"/>
        <v>0</v>
      </c>
      <c r="W129" s="158"/>
      <c r="X129" s="159"/>
      <c r="Y129" s="157"/>
      <c r="Z129" s="160"/>
      <c r="AA129" s="160"/>
      <c r="AB129" s="157"/>
      <c r="AC129" s="160"/>
      <c r="AD129" s="160"/>
      <c r="AE129" s="54"/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336</v>
      </c>
      <c r="P130" s="147"/>
      <c r="Q130" s="147"/>
      <c r="R130" s="148"/>
      <c r="S130" s="149" t="s">
        <v>337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338</v>
      </c>
      <c r="P131" s="147"/>
      <c r="Q131" s="147"/>
      <c r="R131" s="148"/>
      <c r="S131" s="149" t="s">
        <v>339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340</v>
      </c>
      <c r="P132" s="147"/>
      <c r="Q132" s="147"/>
      <c r="R132" s="148"/>
      <c r="S132" s="149" t="s">
        <v>341</v>
      </c>
      <c r="T132" s="150"/>
      <c r="U132" s="151">
        <f t="shared" ref="U132:U163" si="4">R132*0.935</f>
        <v>0</v>
      </c>
      <c r="V132" s="152">
        <f t="shared" ref="V132:V163" si="5">U132/215</f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138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342</v>
      </c>
      <c r="P133" s="147"/>
      <c r="Q133" s="147"/>
      <c r="R133" s="148"/>
      <c r="S133" s="149" t="s">
        <v>343</v>
      </c>
      <c r="T133" s="150"/>
      <c r="U133" s="151">
        <f t="shared" si="4"/>
        <v>0</v>
      </c>
      <c r="V133" s="152">
        <f t="shared" si="5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344</v>
      </c>
      <c r="P134" s="147"/>
      <c r="Q134" s="147"/>
      <c r="R134" s="148"/>
      <c r="S134" s="149" t="s">
        <v>345</v>
      </c>
      <c r="T134" s="150"/>
      <c r="U134" s="151">
        <f t="shared" si="4"/>
        <v>0</v>
      </c>
      <c r="V134" s="152">
        <f t="shared" si="5"/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54"/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346</v>
      </c>
      <c r="P135" s="147"/>
      <c r="Q135" s="147"/>
      <c r="R135" s="148"/>
      <c r="S135" s="149" t="s">
        <v>347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66"/>
      <c r="C136" s="29"/>
      <c r="D136" s="29"/>
      <c r="E136" s="54"/>
      <c r="F136" s="161"/>
      <c r="G136" s="162"/>
      <c r="H136" s="29"/>
      <c r="I136" s="154"/>
      <c r="J136" s="54"/>
      <c r="K136" s="157"/>
      <c r="L136" s="54"/>
      <c r="M136" s="54"/>
      <c r="N136" s="54"/>
      <c r="O136" s="146" t="s">
        <v>348</v>
      </c>
      <c r="P136" s="147"/>
      <c r="Q136" s="147"/>
      <c r="R136" s="148"/>
      <c r="S136" s="149" t="s">
        <v>349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65" t="s">
        <v>350</v>
      </c>
      <c r="C137" s="147" t="s">
        <v>193</v>
      </c>
      <c r="D137" s="140"/>
      <c r="E137" s="138"/>
      <c r="F137" s="141">
        <f>E137/3150</f>
        <v>0</v>
      </c>
      <c r="G137" s="142"/>
      <c r="H137" s="121" t="s">
        <v>194</v>
      </c>
      <c r="I137" s="154"/>
      <c r="J137" s="54"/>
      <c r="K137" s="157"/>
      <c r="L137" s="54"/>
      <c r="M137" s="54"/>
      <c r="N137" s="54"/>
      <c r="O137" s="146" t="s">
        <v>351</v>
      </c>
      <c r="P137" s="147"/>
      <c r="Q137" s="147"/>
      <c r="R137" s="148"/>
      <c r="S137" s="163" t="s">
        <v>352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147" t="s">
        <v>220</v>
      </c>
    </row>
    <row r="138" spans="1:31">
      <c r="A138" s="54"/>
      <c r="B138" s="154"/>
      <c r="C138" s="54"/>
      <c r="D138" s="54"/>
      <c r="E138" s="54"/>
      <c r="F138" s="155"/>
      <c r="G138" s="156"/>
      <c r="H138" s="54"/>
      <c r="I138" s="154"/>
      <c r="J138" s="54"/>
      <c r="K138" s="157"/>
      <c r="L138" s="54"/>
      <c r="M138" s="54"/>
      <c r="N138" s="54"/>
      <c r="O138" s="146" t="s">
        <v>353</v>
      </c>
      <c r="P138" s="147"/>
      <c r="Q138" s="147"/>
      <c r="R138" s="148"/>
      <c r="S138" s="163" t="s">
        <v>354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54"/>
      <c r="C139" s="54"/>
      <c r="D139" s="54"/>
      <c r="E139" s="54"/>
      <c r="F139" s="155"/>
      <c r="G139" s="156"/>
      <c r="H139" s="54"/>
      <c r="I139" s="154"/>
      <c r="J139" s="54"/>
      <c r="K139" s="157"/>
      <c r="L139" s="54"/>
      <c r="M139" s="54"/>
      <c r="N139" s="54"/>
      <c r="O139" s="146" t="s">
        <v>355</v>
      </c>
      <c r="P139" s="147"/>
      <c r="Q139" s="147"/>
      <c r="R139" s="148"/>
      <c r="S139" s="163" t="s">
        <v>356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54"/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357</v>
      </c>
      <c r="P140" s="147"/>
      <c r="Q140" s="147"/>
      <c r="R140" s="148"/>
      <c r="S140" s="163" t="s">
        <v>358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359</v>
      </c>
      <c r="P141" s="147"/>
      <c r="Q141" s="147"/>
      <c r="R141" s="148"/>
      <c r="S141" s="163" t="s">
        <v>360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29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361</v>
      </c>
      <c r="P142" s="147"/>
      <c r="Q142" s="147"/>
      <c r="R142" s="148"/>
      <c r="S142" s="163" t="s">
        <v>362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138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363</v>
      </c>
      <c r="P143" s="147"/>
      <c r="Q143" s="147"/>
      <c r="R143" s="148"/>
      <c r="S143" s="163" t="s">
        <v>364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54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365</v>
      </c>
      <c r="P144" s="147"/>
      <c r="Q144" s="147"/>
      <c r="R144" s="148"/>
      <c r="S144" s="163" t="s">
        <v>366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54"/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367</v>
      </c>
      <c r="P145" s="147"/>
      <c r="Q145" s="147"/>
      <c r="R145" s="148"/>
      <c r="S145" s="163" t="s">
        <v>368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66"/>
      <c r="C146" s="29"/>
      <c r="D146" s="29"/>
      <c r="E146" s="54"/>
      <c r="F146" s="161"/>
      <c r="G146" s="162"/>
      <c r="H146" s="29"/>
      <c r="I146" s="154"/>
      <c r="J146" s="54"/>
      <c r="K146" s="157"/>
      <c r="L146" s="54"/>
      <c r="M146" s="54"/>
      <c r="N146" s="54"/>
      <c r="O146" s="146" t="s">
        <v>369</v>
      </c>
      <c r="P146" s="147"/>
      <c r="Q146" s="147"/>
      <c r="R146" s="148"/>
      <c r="S146" s="163" t="s">
        <v>370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138" t="s">
        <v>371</v>
      </c>
      <c r="B147" s="139" t="s">
        <v>372</v>
      </c>
      <c r="C147" s="138" t="s">
        <v>193</v>
      </c>
      <c r="D147" s="140"/>
      <c r="E147" s="138"/>
      <c r="F147" s="141">
        <f>E147/3150</f>
        <v>0</v>
      </c>
      <c r="G147" s="142"/>
      <c r="H147" s="143" t="s">
        <v>194</v>
      </c>
      <c r="I147" s="167" t="s">
        <v>373</v>
      </c>
      <c r="J147" s="138"/>
      <c r="K147" s="145">
        <f>J147/300</f>
        <v>0</v>
      </c>
      <c r="L147" s="138" t="s">
        <v>193</v>
      </c>
      <c r="M147" s="138"/>
      <c r="N147" s="138"/>
      <c r="O147" s="146" t="s">
        <v>374</v>
      </c>
      <c r="P147" s="147"/>
      <c r="Q147" s="147"/>
      <c r="R147" s="148"/>
      <c r="S147" s="149" t="s">
        <v>375</v>
      </c>
      <c r="T147" s="150"/>
      <c r="U147" s="151">
        <f t="shared" si="4"/>
        <v>0</v>
      </c>
      <c r="V147" s="152">
        <f t="shared" si="5"/>
        <v>0</v>
      </c>
      <c r="W147" s="143">
        <v>402</v>
      </c>
      <c r="X147" s="153">
        <f>SUM(U147:U166)</f>
        <v>0</v>
      </c>
      <c r="Y147" s="145">
        <f>X147/2350</f>
        <v>0</v>
      </c>
      <c r="Z147" s="138">
        <v>170</v>
      </c>
      <c r="AA147" s="138">
        <v>0</v>
      </c>
      <c r="AB147" s="145">
        <f>AA147/Z147</f>
        <v>0</v>
      </c>
      <c r="AC147" s="138">
        <v>6</v>
      </c>
      <c r="AD147" s="138">
        <v>14</v>
      </c>
      <c r="AE147" s="138" t="s">
        <v>198</v>
      </c>
    </row>
    <row r="148" spans="1:31">
      <c r="A148" s="54"/>
      <c r="B148" s="154"/>
      <c r="C148" s="54"/>
      <c r="D148" s="54"/>
      <c r="E148" s="54"/>
      <c r="F148" s="155"/>
      <c r="G148" s="156"/>
      <c r="H148" s="54"/>
      <c r="I148" s="154"/>
      <c r="J148" s="54"/>
      <c r="K148" s="157"/>
      <c r="L148" s="54"/>
      <c r="M148" s="54"/>
      <c r="N148" s="54"/>
      <c r="O148" s="146" t="s">
        <v>376</v>
      </c>
      <c r="P148" s="147"/>
      <c r="Q148" s="147"/>
      <c r="R148" s="148"/>
      <c r="S148" s="149" t="s">
        <v>377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54"/>
    </row>
    <row r="149" spans="1:31">
      <c r="A149" s="54"/>
      <c r="B149" s="154"/>
      <c r="C149" s="54"/>
      <c r="D149" s="54"/>
      <c r="E149" s="54"/>
      <c r="F149" s="155"/>
      <c r="G149" s="156"/>
      <c r="H149" s="54"/>
      <c r="I149" s="154"/>
      <c r="J149" s="54"/>
      <c r="K149" s="157"/>
      <c r="L149" s="54"/>
      <c r="M149" s="54"/>
      <c r="N149" s="54"/>
      <c r="O149" s="146" t="s">
        <v>378</v>
      </c>
      <c r="P149" s="147"/>
      <c r="Q149" s="147"/>
      <c r="R149" s="148"/>
      <c r="S149" s="149" t="s">
        <v>379</v>
      </c>
      <c r="T149" s="150"/>
      <c r="U149" s="151">
        <f t="shared" si="4"/>
        <v>0</v>
      </c>
      <c r="V149" s="152">
        <f t="shared" si="5"/>
        <v>0</v>
      </c>
      <c r="W149" s="158"/>
      <c r="X149" s="159"/>
      <c r="Y149" s="157"/>
      <c r="Z149" s="160"/>
      <c r="AA149" s="160"/>
      <c r="AB149" s="157"/>
      <c r="AC149" s="160"/>
      <c r="AD149" s="160"/>
      <c r="AE149" s="54"/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380</v>
      </c>
      <c r="P150" s="147"/>
      <c r="Q150" s="147"/>
      <c r="R150" s="148"/>
      <c r="S150" s="149" t="s">
        <v>381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382</v>
      </c>
      <c r="P151" s="147"/>
      <c r="Q151" s="147"/>
      <c r="R151" s="148"/>
      <c r="S151" s="149" t="s">
        <v>383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384</v>
      </c>
      <c r="P152" s="147"/>
      <c r="Q152" s="147"/>
      <c r="R152" s="148"/>
      <c r="S152" s="149" t="s">
        <v>385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138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386</v>
      </c>
      <c r="P153" s="147"/>
      <c r="Q153" s="147"/>
      <c r="R153" s="148"/>
      <c r="S153" s="149" t="s">
        <v>387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388</v>
      </c>
      <c r="P154" s="147"/>
      <c r="Q154" s="147"/>
      <c r="R154" s="148"/>
      <c r="S154" s="149" t="s">
        <v>389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54"/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390</v>
      </c>
      <c r="P155" s="147"/>
      <c r="Q155" s="147"/>
      <c r="R155" s="148"/>
      <c r="S155" s="149" t="s">
        <v>391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29"/>
      <c r="E156" s="54"/>
      <c r="F156" s="161"/>
      <c r="G156" s="162"/>
      <c r="H156" s="54"/>
      <c r="I156" s="154"/>
      <c r="J156" s="54"/>
      <c r="K156" s="157"/>
      <c r="L156" s="54"/>
      <c r="M156" s="54"/>
      <c r="N156" s="54"/>
      <c r="O156" s="146" t="s">
        <v>392</v>
      </c>
      <c r="P156" s="147"/>
      <c r="Q156" s="147"/>
      <c r="R156" s="148"/>
      <c r="S156" s="149" t="s">
        <v>393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39" t="s">
        <v>394</v>
      </c>
      <c r="C157" s="138" t="s">
        <v>193</v>
      </c>
      <c r="D157" s="140"/>
      <c r="E157" s="138"/>
      <c r="F157" s="141">
        <f>E157/3150</f>
        <v>0</v>
      </c>
      <c r="G157" s="142"/>
      <c r="H157" s="143" t="s">
        <v>194</v>
      </c>
      <c r="I157" s="154"/>
      <c r="J157" s="54"/>
      <c r="K157" s="157"/>
      <c r="L157" s="54"/>
      <c r="M157" s="54"/>
      <c r="N157" s="54"/>
      <c r="O157" s="146" t="s">
        <v>395</v>
      </c>
      <c r="P157" s="147"/>
      <c r="Q157" s="147"/>
      <c r="R157" s="148"/>
      <c r="S157" s="163" t="s">
        <v>396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147" t="s">
        <v>220</v>
      </c>
    </row>
    <row r="158" spans="1:31">
      <c r="A158" s="54"/>
      <c r="B158" s="154"/>
      <c r="C158" s="54"/>
      <c r="D158" s="54"/>
      <c r="E158" s="54"/>
      <c r="F158" s="155"/>
      <c r="G158" s="156"/>
      <c r="H158" s="54"/>
      <c r="I158" s="154"/>
      <c r="J158" s="54"/>
      <c r="K158" s="157"/>
      <c r="L158" s="54"/>
      <c r="M158" s="54"/>
      <c r="N158" s="54"/>
      <c r="O158" s="146" t="s">
        <v>397</v>
      </c>
      <c r="P158" s="147"/>
      <c r="Q158" s="147"/>
      <c r="R158" s="148"/>
      <c r="S158" s="163" t="s">
        <v>398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54"/>
      <c r="C159" s="54"/>
      <c r="D159" s="54"/>
      <c r="E159" s="54"/>
      <c r="F159" s="155"/>
      <c r="G159" s="156"/>
      <c r="H159" s="54"/>
      <c r="I159" s="154"/>
      <c r="J159" s="54"/>
      <c r="K159" s="157"/>
      <c r="L159" s="54"/>
      <c r="M159" s="54"/>
      <c r="N159" s="54"/>
      <c r="O159" s="146" t="s">
        <v>399</v>
      </c>
      <c r="P159" s="147"/>
      <c r="Q159" s="147"/>
      <c r="R159" s="148"/>
      <c r="S159" s="163" t="s">
        <v>400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54"/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401</v>
      </c>
      <c r="P160" s="147"/>
      <c r="Q160" s="147"/>
      <c r="R160" s="148"/>
      <c r="S160" s="163" t="s">
        <v>402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403</v>
      </c>
      <c r="P161" s="147"/>
      <c r="Q161" s="147"/>
      <c r="R161" s="148"/>
      <c r="S161" s="163" t="s">
        <v>404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29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405</v>
      </c>
      <c r="P162" s="147"/>
      <c r="Q162" s="147"/>
      <c r="R162" s="148"/>
      <c r="S162" s="163" t="s">
        <v>406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138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407</v>
      </c>
      <c r="P163" s="147"/>
      <c r="Q163" s="147"/>
      <c r="R163" s="148"/>
      <c r="S163" s="163" t="s">
        <v>408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54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409</v>
      </c>
      <c r="P164" s="147"/>
      <c r="Q164" s="147"/>
      <c r="R164" s="148"/>
      <c r="S164" s="163" t="s">
        <v>410</v>
      </c>
      <c r="T164" s="150"/>
      <c r="U164" s="151">
        <f t="shared" ref="U164:U186" si="6">R164*0.935</f>
        <v>0</v>
      </c>
      <c r="V164" s="152">
        <f t="shared" ref="V164:V186" si="7">U164/215</f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54"/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411</v>
      </c>
      <c r="P165" s="147"/>
      <c r="Q165" s="147"/>
      <c r="R165" s="148"/>
      <c r="S165" s="163" t="s">
        <v>412</v>
      </c>
      <c r="T165" s="150"/>
      <c r="U165" s="151">
        <f t="shared" si="6"/>
        <v>0</v>
      </c>
      <c r="V165" s="152">
        <f t="shared" si="7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29"/>
      <c r="E166" s="54"/>
      <c r="F166" s="161"/>
      <c r="G166" s="162"/>
      <c r="H166" s="54"/>
      <c r="I166" s="166"/>
      <c r="J166" s="54"/>
      <c r="K166" s="157"/>
      <c r="L166" s="54"/>
      <c r="M166" s="54"/>
      <c r="N166" s="54"/>
      <c r="O166" s="168" t="s">
        <v>413</v>
      </c>
      <c r="P166" s="138"/>
      <c r="Q166" s="138"/>
      <c r="R166" s="169"/>
      <c r="S166" s="170" t="s">
        <v>414</v>
      </c>
      <c r="T166" s="171"/>
      <c r="U166" s="151">
        <f t="shared" si="6"/>
        <v>0</v>
      </c>
      <c r="V166" s="152">
        <f t="shared" si="7"/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138" t="s">
        <v>415</v>
      </c>
      <c r="B167" s="139" t="s">
        <v>416</v>
      </c>
      <c r="C167" s="138" t="s">
        <v>193</v>
      </c>
      <c r="D167" s="140"/>
      <c r="E167" s="138"/>
      <c r="F167" s="141">
        <f>E167/3150</f>
        <v>0</v>
      </c>
      <c r="G167" s="142"/>
      <c r="H167" s="143" t="s">
        <v>194</v>
      </c>
      <c r="I167" s="167" t="s">
        <v>417</v>
      </c>
      <c r="J167" s="138"/>
      <c r="K167" s="145">
        <f>J167/300</f>
        <v>0</v>
      </c>
      <c r="L167" s="138" t="s">
        <v>193</v>
      </c>
      <c r="M167" s="138"/>
      <c r="N167" s="138"/>
      <c r="O167" s="146" t="s">
        <v>418</v>
      </c>
      <c r="P167" s="147"/>
      <c r="Q167" s="147"/>
      <c r="R167" s="172"/>
      <c r="S167" s="149" t="s">
        <v>419</v>
      </c>
      <c r="T167" s="150"/>
      <c r="U167" s="151">
        <f t="shared" si="6"/>
        <v>0</v>
      </c>
      <c r="V167" s="152">
        <f t="shared" si="7"/>
        <v>0</v>
      </c>
      <c r="W167" s="121">
        <v>401</v>
      </c>
      <c r="X167" s="151">
        <f>SUM(U167:U186)</f>
        <v>0</v>
      </c>
      <c r="Y167" s="152">
        <f>X167/2350</f>
        <v>0</v>
      </c>
      <c r="Z167" s="147">
        <v>170</v>
      </c>
      <c r="AA167" s="147">
        <v>0</v>
      </c>
      <c r="AB167" s="152">
        <f>AA167/Z167</f>
        <v>0</v>
      </c>
      <c r="AC167" s="147">
        <v>8</v>
      </c>
      <c r="AD167" s="147">
        <v>12</v>
      </c>
      <c r="AE167" s="138" t="s">
        <v>198</v>
      </c>
    </row>
    <row r="168" spans="1:31">
      <c r="A168" s="54"/>
      <c r="B168" s="154"/>
      <c r="C168" s="54"/>
      <c r="D168" s="54"/>
      <c r="E168" s="54"/>
      <c r="F168" s="155"/>
      <c r="G168" s="156"/>
      <c r="H168" s="54"/>
      <c r="I168" s="154"/>
      <c r="J168" s="54"/>
      <c r="K168" s="157"/>
      <c r="L168" s="54"/>
      <c r="M168" s="54"/>
      <c r="N168" s="54"/>
      <c r="O168" s="146" t="s">
        <v>420</v>
      </c>
      <c r="P168" s="147"/>
      <c r="Q168" s="147"/>
      <c r="R168" s="172"/>
      <c r="S168" s="149" t="s">
        <v>421</v>
      </c>
      <c r="T168" s="150"/>
      <c r="U168" s="151">
        <f t="shared" si="6"/>
        <v>0</v>
      </c>
      <c r="V168" s="152">
        <f t="shared" si="7"/>
        <v>0</v>
      </c>
      <c r="W168" s="121"/>
      <c r="X168" s="173"/>
      <c r="Y168" s="174"/>
      <c r="Z168" s="147"/>
      <c r="AA168" s="147"/>
      <c r="AB168" s="174"/>
      <c r="AC168" s="147"/>
      <c r="AD168" s="147"/>
      <c r="AE168" s="54"/>
    </row>
    <row r="169" spans="1:31">
      <c r="A169" s="54"/>
      <c r="B169" s="154"/>
      <c r="C169" s="54"/>
      <c r="D169" s="54"/>
      <c r="E169" s="54"/>
      <c r="F169" s="155"/>
      <c r="G169" s="156"/>
      <c r="H169" s="54"/>
      <c r="I169" s="154"/>
      <c r="J169" s="54"/>
      <c r="K169" s="157"/>
      <c r="L169" s="54"/>
      <c r="M169" s="54"/>
      <c r="N169" s="54"/>
      <c r="O169" s="146" t="s">
        <v>422</v>
      </c>
      <c r="P169" s="147"/>
      <c r="Q169" s="147"/>
      <c r="R169" s="172"/>
      <c r="S169" s="149" t="s">
        <v>423</v>
      </c>
      <c r="T169" s="150"/>
      <c r="U169" s="151">
        <f t="shared" si="6"/>
        <v>0</v>
      </c>
      <c r="V169" s="152">
        <f t="shared" si="7"/>
        <v>0</v>
      </c>
      <c r="W169" s="121"/>
      <c r="X169" s="173"/>
      <c r="Y169" s="174"/>
      <c r="Z169" s="147"/>
      <c r="AA169" s="147"/>
      <c r="AB169" s="174"/>
      <c r="AC169" s="147"/>
      <c r="AD169" s="147"/>
      <c r="AE169" s="54"/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424</v>
      </c>
      <c r="P170" s="147"/>
      <c r="Q170" s="147"/>
      <c r="R170" s="172"/>
      <c r="S170" s="149" t="s">
        <v>425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426</v>
      </c>
      <c r="P171" s="147"/>
      <c r="Q171" s="147"/>
      <c r="R171" s="172"/>
      <c r="S171" s="149" t="s">
        <v>427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428</v>
      </c>
      <c r="P172" s="147"/>
      <c r="Q172" s="147"/>
      <c r="R172" s="172"/>
      <c r="S172" s="149" t="s">
        <v>429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147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430</v>
      </c>
      <c r="P173" s="147"/>
      <c r="Q173" s="147"/>
      <c r="R173" s="172"/>
      <c r="S173" s="149" t="s">
        <v>431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432</v>
      </c>
      <c r="P174" s="147"/>
      <c r="Q174" s="147"/>
      <c r="R174" s="172"/>
      <c r="S174" s="149" t="s">
        <v>433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54"/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434</v>
      </c>
      <c r="P175" s="147"/>
      <c r="Q175" s="147"/>
      <c r="R175" s="172"/>
      <c r="S175" s="149" t="s">
        <v>435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29"/>
      <c r="E176" s="54"/>
      <c r="F176" s="161"/>
      <c r="G176" s="162"/>
      <c r="H176" s="54"/>
      <c r="I176" s="154"/>
      <c r="J176" s="54"/>
      <c r="K176" s="157"/>
      <c r="L176" s="54"/>
      <c r="M176" s="54"/>
      <c r="N176" s="54"/>
      <c r="O176" s="146" t="s">
        <v>436</v>
      </c>
      <c r="P176" s="147"/>
      <c r="Q176" s="147"/>
      <c r="R176" s="172"/>
      <c r="S176" s="149" t="s">
        <v>437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29"/>
    </row>
    <row r="177" spans="1:31">
      <c r="A177" s="54"/>
      <c r="B177" s="139" t="s">
        <v>438</v>
      </c>
      <c r="C177" s="138" t="s">
        <v>193</v>
      </c>
      <c r="D177" s="140"/>
      <c r="E177" s="138"/>
      <c r="F177" s="141">
        <f>E177/3150</f>
        <v>0</v>
      </c>
      <c r="G177" s="142"/>
      <c r="H177" s="143" t="s">
        <v>194</v>
      </c>
      <c r="I177" s="154"/>
      <c r="J177" s="54"/>
      <c r="K177" s="157"/>
      <c r="L177" s="54"/>
      <c r="M177" s="54"/>
      <c r="N177" s="54"/>
      <c r="O177" s="146" t="s">
        <v>439</v>
      </c>
      <c r="P177" s="147"/>
      <c r="Q177" s="147"/>
      <c r="R177" s="172"/>
      <c r="S177" s="163" t="s">
        <v>440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147" t="s">
        <v>220</v>
      </c>
    </row>
    <row r="178" spans="1:31">
      <c r="A178" s="54"/>
      <c r="B178" s="154"/>
      <c r="C178" s="54"/>
      <c r="D178" s="54"/>
      <c r="E178" s="54"/>
      <c r="F178" s="155"/>
      <c r="G178" s="156"/>
      <c r="H178" s="54"/>
      <c r="I178" s="154"/>
      <c r="J178" s="54"/>
      <c r="K178" s="157"/>
      <c r="L178" s="54"/>
      <c r="M178" s="54"/>
      <c r="N178" s="54"/>
      <c r="O178" s="146" t="s">
        <v>441</v>
      </c>
      <c r="P178" s="147"/>
      <c r="Q178" s="147"/>
      <c r="R178" s="172"/>
      <c r="S178" s="163" t="s">
        <v>442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54"/>
    </row>
    <row r="179" spans="1:31">
      <c r="A179" s="54"/>
      <c r="B179" s="154"/>
      <c r="C179" s="54"/>
      <c r="D179" s="54"/>
      <c r="E179" s="54"/>
      <c r="F179" s="155"/>
      <c r="G179" s="156"/>
      <c r="H179" s="54"/>
      <c r="I179" s="154"/>
      <c r="J179" s="54"/>
      <c r="K179" s="157"/>
      <c r="L179" s="54"/>
      <c r="M179" s="54"/>
      <c r="N179" s="54"/>
      <c r="O179" s="146" t="s">
        <v>443</v>
      </c>
      <c r="P179" s="147"/>
      <c r="Q179" s="147"/>
      <c r="R179" s="172"/>
      <c r="S179" s="163" t="s">
        <v>444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54"/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445</v>
      </c>
      <c r="P180" s="147"/>
      <c r="Q180" s="147"/>
      <c r="R180" s="172"/>
      <c r="S180" s="163" t="s">
        <v>446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447</v>
      </c>
      <c r="P181" s="147"/>
      <c r="Q181" s="147"/>
      <c r="R181" s="172"/>
      <c r="S181" s="163" t="s">
        <v>448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29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449</v>
      </c>
      <c r="P182" s="147"/>
      <c r="Q182" s="147"/>
      <c r="R182" s="172"/>
      <c r="S182" s="163" t="s">
        <v>450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147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451</v>
      </c>
      <c r="P183" s="147"/>
      <c r="Q183" s="147"/>
      <c r="R183" s="172"/>
      <c r="S183" s="163" t="s">
        <v>452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54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453</v>
      </c>
      <c r="P184" s="147"/>
      <c r="Q184" s="147"/>
      <c r="R184" s="172"/>
      <c r="S184" s="163" t="s">
        <v>454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54"/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455</v>
      </c>
      <c r="P185" s="147"/>
      <c r="Q185" s="147"/>
      <c r="R185" s="172"/>
      <c r="S185" s="163" t="s">
        <v>456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29"/>
      <c r="E186" s="54"/>
      <c r="F186" s="161"/>
      <c r="G186" s="162"/>
      <c r="H186" s="54"/>
      <c r="I186" s="166"/>
      <c r="J186" s="54"/>
      <c r="K186" s="157"/>
      <c r="L186" s="54"/>
      <c r="M186" s="54"/>
      <c r="N186" s="54"/>
      <c r="O186" s="146" t="s">
        <v>457</v>
      </c>
      <c r="P186" s="147"/>
      <c r="Q186" s="147"/>
      <c r="R186" s="172"/>
      <c r="S186" s="163" t="s">
        <v>458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29"/>
    </row>
    <row r="187" ht="13.05" customHeight="1" spans="1:31">
      <c r="A187" s="147" t="s">
        <v>459</v>
      </c>
      <c r="B187" s="165" t="s">
        <v>460</v>
      </c>
      <c r="C187" s="147" t="s">
        <v>193</v>
      </c>
      <c r="D187" s="140"/>
      <c r="E187" s="138"/>
      <c r="F187" s="152">
        <f>E187/3150</f>
        <v>0</v>
      </c>
      <c r="G187" s="142"/>
      <c r="H187" s="121" t="s">
        <v>194</v>
      </c>
      <c r="I187" s="167" t="s">
        <v>461</v>
      </c>
      <c r="J187" s="175"/>
      <c r="K187" s="145">
        <f>J187/300</f>
        <v>0</v>
      </c>
      <c r="L187" s="138" t="s">
        <v>193</v>
      </c>
      <c r="M187" s="138"/>
      <c r="N187" s="147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  <c r="AA187" s="176"/>
      <c r="AB187" s="176"/>
      <c r="AC187" s="176"/>
      <c r="AD187" s="176"/>
      <c r="AE187" s="176"/>
    </row>
    <row r="188" ht="13.05" customHeight="1" spans="1:31">
      <c r="A188" s="54"/>
      <c r="B188" s="154"/>
      <c r="C188" s="54"/>
      <c r="D188" s="54"/>
      <c r="E188" s="54"/>
      <c r="F188" s="155"/>
      <c r="G188" s="156"/>
      <c r="H188" s="54"/>
      <c r="I188" s="154"/>
      <c r="J188" s="54"/>
      <c r="K188" s="157"/>
      <c r="L188" s="54"/>
      <c r="M188" s="54"/>
      <c r="N188" s="54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  <c r="AA188" s="176"/>
      <c r="AB188" s="176"/>
      <c r="AC188" s="176"/>
      <c r="AD188" s="176"/>
      <c r="AE188" s="176"/>
    </row>
    <row r="189" ht="13.05" customHeight="1" spans="1:31">
      <c r="A189" s="54"/>
      <c r="B189" s="154"/>
      <c r="C189" s="54"/>
      <c r="D189" s="54"/>
      <c r="E189" s="54"/>
      <c r="F189" s="155"/>
      <c r="G189" s="156"/>
      <c r="H189" s="54"/>
      <c r="I189" s="154"/>
      <c r="J189" s="54"/>
      <c r="K189" s="157"/>
      <c r="L189" s="54"/>
      <c r="M189" s="54"/>
      <c r="N189" s="54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66"/>
      <c r="C191" s="29"/>
      <c r="D191" s="29"/>
      <c r="E191" s="54"/>
      <c r="F191" s="161"/>
      <c r="G191" s="162"/>
      <c r="H191" s="29"/>
      <c r="I191" s="166"/>
      <c r="J191" s="177"/>
      <c r="K191" s="157"/>
      <c r="L191" s="54"/>
      <c r="M191" s="54"/>
      <c r="N191" s="29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65" t="s">
        <v>462</v>
      </c>
      <c r="C192" s="147" t="s">
        <v>193</v>
      </c>
      <c r="D192" s="140"/>
      <c r="E192" s="138"/>
      <c r="F192" s="152">
        <f>E192/3150</f>
        <v>0</v>
      </c>
      <c r="G192" s="142"/>
      <c r="H192" s="143" t="s">
        <v>194</v>
      </c>
      <c r="I192" s="144" t="s">
        <v>463</v>
      </c>
      <c r="J192" s="175"/>
      <c r="K192" s="145">
        <f>J192/300</f>
        <v>0</v>
      </c>
      <c r="L192" s="54"/>
      <c r="M192" s="138"/>
      <c r="N192" s="147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54"/>
      <c r="C193" s="54"/>
      <c r="D193" s="54"/>
      <c r="E193" s="54"/>
      <c r="F193" s="155"/>
      <c r="G193" s="156"/>
      <c r="H193" s="54"/>
      <c r="I193" s="154"/>
      <c r="J193" s="54"/>
      <c r="K193" s="157"/>
      <c r="L193" s="54"/>
      <c r="M193" s="54"/>
      <c r="N193" s="54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54"/>
      <c r="C194" s="54"/>
      <c r="D194" s="54"/>
      <c r="E194" s="54"/>
      <c r="F194" s="155"/>
      <c r="G194" s="156"/>
      <c r="H194" s="54"/>
      <c r="I194" s="154"/>
      <c r="J194" s="54"/>
      <c r="K194" s="157"/>
      <c r="L194" s="54"/>
      <c r="M194" s="54"/>
      <c r="N194" s="54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29"/>
      <c r="B196" s="166"/>
      <c r="C196" s="29"/>
      <c r="D196" s="29"/>
      <c r="E196" s="54"/>
      <c r="F196" s="161"/>
      <c r="G196" s="162"/>
      <c r="H196" s="54"/>
      <c r="I196" s="154"/>
      <c r="J196" s="177"/>
      <c r="K196" s="157"/>
      <c r="L196" s="54"/>
      <c r="M196" s="54"/>
      <c r="N196" s="29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147" t="s">
        <v>464</v>
      </c>
      <c r="B197" s="165" t="s">
        <v>465</v>
      </c>
      <c r="C197" s="147" t="s">
        <v>193</v>
      </c>
      <c r="D197" s="140"/>
      <c r="E197" s="138"/>
      <c r="F197" s="152">
        <f>E197/3150</f>
        <v>0</v>
      </c>
      <c r="G197" s="142"/>
      <c r="H197" s="121" t="s">
        <v>194</v>
      </c>
      <c r="I197" s="167" t="s">
        <v>466</v>
      </c>
      <c r="J197" s="175"/>
      <c r="K197" s="145">
        <f>J197/300</f>
        <v>0</v>
      </c>
      <c r="L197" s="147" t="s">
        <v>193</v>
      </c>
      <c r="M197" s="138"/>
      <c r="N197" s="147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54"/>
      <c r="B198" s="154"/>
      <c r="C198" s="54"/>
      <c r="D198" s="54"/>
      <c r="E198" s="54"/>
      <c r="F198" s="155"/>
      <c r="G198" s="156"/>
      <c r="H198" s="54"/>
      <c r="I198" s="154"/>
      <c r="J198" s="54"/>
      <c r="K198" s="157"/>
      <c r="L198" s="54"/>
      <c r="M198" s="54"/>
      <c r="N198" s="54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54"/>
      <c r="B199" s="154"/>
      <c r="C199" s="54"/>
      <c r="D199" s="54"/>
      <c r="E199" s="54"/>
      <c r="F199" s="155"/>
      <c r="G199" s="156"/>
      <c r="H199" s="54"/>
      <c r="I199" s="154"/>
      <c r="J199" s="54"/>
      <c r="K199" s="157"/>
      <c r="L199" s="54"/>
      <c r="M199" s="54"/>
      <c r="N199" s="54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66"/>
      <c r="C201" s="29"/>
      <c r="D201" s="29"/>
      <c r="E201" s="54"/>
      <c r="F201" s="161"/>
      <c r="G201" s="162"/>
      <c r="H201" s="29"/>
      <c r="I201" s="166"/>
      <c r="J201" s="177"/>
      <c r="K201" s="157"/>
      <c r="L201" s="54"/>
      <c r="M201" s="54"/>
      <c r="N201" s="29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65" t="s">
        <v>467</v>
      </c>
      <c r="C202" s="147" t="s">
        <v>193</v>
      </c>
      <c r="D202" s="140"/>
      <c r="E202" s="147"/>
      <c r="F202" s="152">
        <f>E202/3150</f>
        <v>0</v>
      </c>
      <c r="G202" s="142"/>
      <c r="H202" s="121" t="s">
        <v>194</v>
      </c>
      <c r="I202" s="167" t="s">
        <v>468</v>
      </c>
      <c r="J202" s="175"/>
      <c r="K202" s="152">
        <f>J202/300</f>
        <v>0</v>
      </c>
      <c r="L202" s="54"/>
      <c r="M202" s="147"/>
      <c r="N202" s="147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54"/>
      <c r="C203" s="54"/>
      <c r="D203" s="54"/>
      <c r="E203" s="54"/>
      <c r="F203" s="155"/>
      <c r="G203" s="156"/>
      <c r="H203" s="54"/>
      <c r="I203" s="154"/>
      <c r="J203" s="54"/>
      <c r="K203" s="174"/>
      <c r="L203" s="54"/>
      <c r="M203" s="54"/>
      <c r="N203" s="54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54"/>
      <c r="C204" s="54"/>
      <c r="D204" s="54"/>
      <c r="E204" s="54"/>
      <c r="F204" s="155"/>
      <c r="G204" s="156"/>
      <c r="H204" s="54"/>
      <c r="I204" s="154"/>
      <c r="J204" s="54"/>
      <c r="K204" s="174"/>
      <c r="L204" s="54"/>
      <c r="M204" s="54"/>
      <c r="N204" s="54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29"/>
      <c r="B206" s="166"/>
      <c r="C206" s="29"/>
      <c r="D206" s="29"/>
      <c r="E206" s="29"/>
      <c r="F206" s="161"/>
      <c r="G206" s="162"/>
      <c r="H206" s="29"/>
      <c r="I206" s="166"/>
      <c r="J206" s="177"/>
      <c r="K206" s="174"/>
      <c r="L206" s="29"/>
      <c r="M206" s="29"/>
      <c r="N206" s="29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spans="1:31">
      <c r="A207" s="176"/>
      <c r="B207" s="176"/>
      <c r="C207" s="176"/>
      <c r="D207" s="176"/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spans="1:31">
      <c r="A208" s="176"/>
      <c r="B208" s="176"/>
      <c r="C208" s="176"/>
      <c r="D208" s="176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{dc869e4a-d4df-45b1-acc7-f08d805012c1}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{cb01b73a-2dae-442a-a015-6f26fcb446d7}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{6a1d955d-5ec6-4082-9b9a-912902563e8c}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{0e48a767-d977-47e8-8ca1-075c4454ffbb}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{ec929e07-2e84-4232-90c0-ab76c62e2f69}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{569d7a47-4c79-4d97-910d-8032fb148cb1}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{dcea09d6-dc83-400d-aacc-35ea1e131616}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{7578bda6-c091-4f93-b912-e2491d0f1cb0}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{2f0f31f9-51ad-4d61-b907-774e7ec44747}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{46153212-63fe-4a83-a319-87dbffce20e4}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{dc72dced-516b-46f5-bc55-7a6d8cd320da}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{927c1db5-94e9-415e-9e5d-235dbf7338e6}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{11cf405d-6536-4726-8107-38a39d0f3afb}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{bc7eadef-5e07-4046-896e-abf5b264672d}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{98e0ee8a-db82-4896-909a-9054035ca415}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{c821cc9a-1ab3-4257-97af-284224c70cd1}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{edaaa9d3-4771-4bb0-b9da-5051d7d62a4a}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{0716f47a-6a99-4b23-ae0d-d8069ebb550a}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{7a161af8-ffa1-4756-a057-11219173523f}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{ddf89281-8a47-4ce2-adbb-4db4985c29ea}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{bd396c6a-6303-4224-9b3a-30a8790da490}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{309676de-1075-4135-baf5-83cd58a93521}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{11382026-047c-459a-9c01-8f1c2f9eeee6}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{bb4661e2-67f4-410d-bb60-63fe02ae6e60}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{e2a3b67a-95a5-4876-a289-b38ad0f944ba}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{8fb013b5-0f37-465e-94dd-69d4e5bb7b79}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{505ed2cf-b929-4f56-ba21-3964daedd320}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{1a62faf4-31d9-4ad4-a42a-789dab53acfb}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{fa76e88a-72ac-49c1-a9d9-ec7065116bea}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{08516cd1-7f6f-4127-ad29-01f7b44309b2}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{592ee428-a528-4f86-8e9e-70bb334c9bf2}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{62151563-e574-493d-b5cf-050ddc6cc5d2}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{fe5fdb7b-42bf-4c83-a2c9-b9da97866820}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{967063f2-fa01-4ae7-889d-6fb50f302fc1}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{8348c10a-4253-4e2a-b095-845a23920ad9}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{80cfe2b8-161b-4089-aca3-244d53620f1d}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{8ea97847-3f0c-46d6-aeea-93f600506e98}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{8bfbb4be-68cb-4c74-aae5-64db59054356}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{3b1dff65-5101-4f9a-ae69-e074128fa115}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{cd944716-8660-424f-9482-1bd26d9ec547}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{6b8fc5ab-44da-452b-943f-c7ebe5241cbf}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{843913e9-44ad-47f5-8893-037992676ebf}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{ad2b248a-e3ed-4e86-aedf-4a5f432de5ac}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{83962926-e597-47a6-a8f3-577001d346ce}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{a852c9ed-ef52-4723-a9eb-e4871eead664}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{88723e8e-dcaf-48c8-8b04-1fb161f2783d}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{e38da820-5194-4833-8017-4eb267dd2a48}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{5f502cc3-10d3-4115-b55d-ba77d82bf475}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{e70628e8-6ee5-447b-8f0a-043e8540fd13}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{43535772-12bf-403a-90a2-1470daa84c02}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{ab4958d5-33ea-495d-9521-060c153b0f0c}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{75e8bc2e-57b8-4b6a-b521-99f5153c1413}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{0fa3df3a-0aab-4112-a2df-3d95c2842591}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{9d578b4e-845c-4e76-ba72-0595d55533b0}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{5944874c-77b8-4a7c-b673-7fe0c0fa7315}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{cc5b345e-b64b-4461-834a-43f9612e0b26}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{b81632c7-d824-4adf-997e-d1e20d7dadc7}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{0501c70d-7a3f-432d-8b5a-da81de3704b7}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{c5c51363-037e-48b7-9ff4-a286c02a2153}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{39a0af65-c511-411d-941d-3d0a96984a8d}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{182ec155-5915-4b75-852d-d6cb211e7ccd}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{396f64f2-929d-4466-b670-2a65f1bbbbd9}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{e86bbe99-45de-4e24-9e5c-190e65669d32}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{3e8b7be9-7b36-45b5-8ca1-c30dc19bf27f}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{04b119dc-1ed0-4d58-9a2c-91cc9b17e5f1}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{f8ccf2c5-31e7-4778-9fa6-21ddea3a30af}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{3e14aeea-312f-4a77-9ef9-90e007d22bf1}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{87ab80b9-434b-4106-9c60-909025c91b7d}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{ec9dd85c-d984-46fb-9b9e-769373f45516}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{b56baa91-809f-4da5-a466-16ca898443ee}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{60dab125-824b-4490-b011-d01bb1968e3f}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{22483545-1fae-40b4-873c-af86d174200e}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{f389b7cc-1482-405e-ad60-2cb89fd59909}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{32b46662-3414-4f35-888f-1e94e577a6cf}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{f2acd83c-d34a-4947-87d2-b3d47c03f0db}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{deff5729-4b44-4941-a7c6-4000fdb51cec}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{6223bb5f-70b9-4035-8888-1ec09b257b76}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{fcd32805-cb82-4e55-ba48-a65844e492ac}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{f51496d3-21d0-474a-8387-6926214a4382}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{e57832f1-6d65-4d45-a679-fb95c01d71ba}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{04037f89-43c8-4eae-b0c9-2a9fc16f9c2e}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{985ed405-30cd-45ce-951f-798acea1d85b}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{f60694bc-f0d8-4a3f-a0a9-b0c20a719712}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{84e3e471-94c2-4229-8227-328af3de88c8}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{b359299e-5f2f-4f8d-9790-dfeb62b951ce}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{f787ab7e-2fdd-48e5-a877-78fbea3a3da4}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869e4a-d4df-45b1-acc7-f08d805012c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cb01b73a-2dae-442a-a015-6f26fcb446d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a1d955d-5ec6-4082-9b9a-912902563e8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e48a767-d977-47e8-8ca1-075c4454ffb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c929e07-2e84-4232-90c0-ab76c62e2f6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69d7a47-4c79-4d97-910d-8032fb148cb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cea09d6-dc83-400d-aacc-35ea1e13161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578bda6-c091-4f93-b912-e2491d0f1cb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2f0f31f9-51ad-4d61-b907-774e7ec4474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6153212-63fe-4a83-a319-87dbffce20e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c72dced-516b-46f5-bc55-7a6d8cd320d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27c1db5-94e9-415e-9e5d-235dbf7338e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1cf405d-6536-4726-8107-38a39d0f3af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c7eadef-5e07-4046-896e-abf5b264672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8e0ee8a-db82-4896-909a-9054035ca41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821cc9a-1ab3-4257-97af-284224c70cd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edaaa9d3-4771-4bb0-b9da-5051d7d62a4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0716f47a-6a99-4b23-ae0d-d8069ebb550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a161af8-ffa1-4756-a057-11219173523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df89281-8a47-4ce2-adbb-4db4985c29e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d396c6a-6303-4224-9b3a-30a8790da49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09676de-1075-4135-baf5-83cd58a9352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1382026-047c-459a-9c01-8f1c2f9eeee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b4661e2-67f4-410d-bb60-63fe02ae6e6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e2a3b67a-95a5-4876-a289-b38ad0f944b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fb013b5-0f37-465e-94dd-69d4e5bb7b7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05ed2cf-b929-4f56-ba21-3964daedd32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a62faf4-31d9-4ad4-a42a-789dab53acf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fa76e88a-72ac-49c1-a9d9-ec7065116be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8516cd1-7f6f-4127-ad29-01f7b44309b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92ee428-a528-4f86-8e9e-70bb334c9bf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2151563-e574-493d-b5cf-050ddc6cc5d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fe5fdb7b-42bf-4c83-a2c9-b9da9786682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967063f2-fa01-4ae7-889d-6fb50f302fc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348c10a-4253-4e2a-b095-845a23920ad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0cfe2b8-161b-4089-aca3-244d53620f1d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ea97847-3f0c-46d6-aeea-93f600506e9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bfbb4be-68cb-4c74-aae5-64db5905435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b1dff65-5101-4f9a-ae69-e074128fa11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d944716-8660-424f-9482-1bd26d9ec54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6b8fc5ab-44da-452b-943f-c7ebe5241cb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43913e9-44ad-47f5-8893-037992676eb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d2b248a-e3ed-4e86-aedf-4a5f432de5a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3962926-e597-47a6-a8f3-577001d346c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852c9ed-ef52-4723-a9eb-e4871eead66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8723e8e-dcaf-48c8-8b04-1fb161f2783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38da820-5194-4833-8017-4eb267dd2a4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f502cc3-10d3-4115-b55d-ba77d82bf47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e70628e8-6ee5-447b-8f0a-043e8540fd1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3535772-12bf-403a-90a2-1470daa84c0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b4958d5-33ea-495d-9521-060c153b0f0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5e8bc2e-57b8-4b6a-b521-99f5153c141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fa3df3a-0aab-4112-a2df-3d95c284259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d578b4e-845c-4e76-ba72-0595d55533b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944874c-77b8-4a7c-b673-7fe0c0fa731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c5b345e-b64b-4461-834a-43f9612e0b2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b81632c7-d824-4adf-997e-d1e20d7dad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0501c70d-7a3f-432d-8b5a-da81de3704b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c5c51363-037e-48b7-9ff4-a286c02a215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39a0af65-c511-411d-941d-3d0a96984a8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82ec155-5915-4b75-852d-d6cb211e7cc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96f64f2-929d-4466-b670-2a65f1bbbbd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86bbe99-45de-4e24-9e5c-190e65669d3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e8b7be9-7b36-45b5-8ca1-c30dc19bf27f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4b119dc-1ed0-4d58-9a2c-91cc9b17e5f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8ccf2c5-31e7-4778-9fa6-21ddea3a30a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e14aeea-312f-4a77-9ef9-90e007d22bf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87ab80b9-434b-4106-9c60-909025c91b7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c9dd85c-d984-46fb-9b9e-769373f4551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b56baa91-809f-4da5-a466-16ca898443e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60dab125-824b-4490-b011-d01bb1968e3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2483545-1fae-40b4-873c-af86d174200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f389b7cc-1482-405e-ad60-2cb89fd5990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2b46662-3414-4f35-888f-1e94e577a6c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f2acd83c-d34a-4947-87d2-b3d47c03f0d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deff5729-4b44-4941-a7c6-4000fdb51ce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223bb5f-70b9-4035-8888-1ec09b257b7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fcd32805-cb82-4e55-ba48-a65844e492a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f51496d3-21d0-474a-8387-6926214a438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57832f1-6d65-4d45-a679-fb95c01d71b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4037f89-43c8-4eae-b0c9-2a9fc16f9c2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985ed405-30cd-45ce-951f-798acea1d85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60694bc-f0d8-4a3f-a0a9-b0c20a71971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4e3e471-94c2-4229-8227-328af3de88c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b359299e-5f2f-4f8d-9790-dfeb62b951c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787ab7e-2fdd-48e5-a877-78fbea3a3da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469</v>
      </c>
      <c r="B1" s="3" t="s">
        <v>470</v>
      </c>
      <c r="C1" s="3" t="s">
        <v>471</v>
      </c>
      <c r="D1" s="3" t="s">
        <v>472</v>
      </c>
      <c r="E1" s="3" t="s">
        <v>473</v>
      </c>
      <c r="F1" s="3" t="s">
        <v>474</v>
      </c>
      <c r="G1" s="3" t="s">
        <v>475</v>
      </c>
      <c r="H1" s="3" t="s">
        <v>476</v>
      </c>
      <c r="I1" s="3" t="s">
        <v>477</v>
      </c>
      <c r="J1" s="3" t="s">
        <v>478</v>
      </c>
      <c r="K1" s="3" t="s">
        <v>479</v>
      </c>
      <c r="L1" s="3" t="s">
        <v>480</v>
      </c>
      <c r="M1" s="3" t="s">
        <v>481</v>
      </c>
      <c r="N1" s="3" t="s">
        <v>482</v>
      </c>
      <c r="O1" s="3" t="s">
        <v>483</v>
      </c>
      <c r="P1" s="3" t="s">
        <v>484</v>
      </c>
      <c r="Q1" s="3" t="s">
        <v>485</v>
      </c>
      <c r="R1" s="3" t="s">
        <v>486</v>
      </c>
    </row>
    <row r="2" spans="1:18">
      <c r="A2" s="3" t="s">
        <v>487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488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489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2026-05-12T16:13:32Z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