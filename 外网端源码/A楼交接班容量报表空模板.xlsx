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ShiJian_Code\pythonProject\全景平台月报自动定时上传\外网端源码\"/>
    </mc:Choice>
  </mc:AlternateContent>
  <bookViews>
    <workbookView windowWidth="24750" windowHeight="10480"/>
  </bookViews>
  <sheets>
    <sheet name="本班组" sheetId="1" r:id="rId1"/>
    <sheet name="油量附表" sheetId="2" r:id="rId2"/>
  </sheets>
  <definedNames>
    <definedName name="欧0">本班组!$U$17</definedName>
    <definedName name="_xlnm.Print_Area" localSheetId="0">本班组!$A$2:$AG$178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何玲珑</author>
  </authors>
  <commentList>
    <comment ref="U16" authorId="0">
      <text>
        <r>
          <rPr>
            <sz val="10"/>
            <rFont val="宋体"/>
            <charset val="134"/>
          </rPr>
          <t>Dell:
工程组态-系统总览-点中燃油系统-测点信息</t>
        </r>
      </text>
    </comment>
    <comment ref="AD35" authorId="1">
      <text>
        <r>
          <rPr>
            <sz val="10"/>
            <rFont val="宋体"/>
            <charset val="134"/>
          </rPr>
          <t>何玲珑:
以水处理厂家药剂处理而定</t>
        </r>
      </text>
    </comment>
  </commentList>
</comments>
</file>

<file path=xl/sharedStrings.xml><?xml version="1.0" encoding="utf-8"?>
<sst xmlns="http://schemas.openxmlformats.org/spreadsheetml/2006/main" count="748" uniqueCount="418">
  <si>
    <t>班次</t>
  </si>
  <si>
    <t>天气：</t>
  </si>
  <si>
    <t>室外温度（℃）：</t>
  </si>
  <si>
    <t>室外湿度：</t>
  </si>
  <si>
    <t>室外湿球温度（℃）：</t>
  </si>
  <si>
    <t>一、【本班遗留故障情况】</t>
  </si>
  <si>
    <t>编号</t>
  </si>
  <si>
    <t>发生日期</t>
  </si>
  <si>
    <t>楼栋</t>
  </si>
  <si>
    <t>专业</t>
  </si>
  <si>
    <t>故障内容</t>
  </si>
  <si>
    <t>责任人</t>
  </si>
  <si>
    <t>等级</t>
  </si>
  <si>
    <t>遗留时长</t>
  </si>
  <si>
    <t>备注</t>
  </si>
  <si>
    <t>/</t>
  </si>
  <si>
    <t>二、【交接班组】</t>
  </si>
  <si>
    <t>FM运维值班团队</t>
  </si>
  <si>
    <t>交班:</t>
  </si>
  <si>
    <t>接班：</t>
  </si>
  <si>
    <t>晨会到场工程师</t>
  </si>
  <si>
    <t>应急人员（15min）</t>
  </si>
  <si>
    <t>三、【监控中心当前运营状态】</t>
  </si>
  <si>
    <t>接班未恢复告警：0</t>
  </si>
  <si>
    <t>告警总数</t>
  </si>
  <si>
    <t>变化率：</t>
  </si>
  <si>
    <t>告警原因：</t>
  </si>
  <si>
    <t>交班未恢复告警：0</t>
  </si>
  <si>
    <t>四、【电气】</t>
  </si>
  <si>
    <t>E楼</t>
  </si>
  <si>
    <t>线路名称</t>
  </si>
  <si>
    <t>8小时平均功率</t>
  </si>
  <si>
    <t>平均负载率</t>
  </si>
  <si>
    <t>变化率</t>
  </si>
  <si>
    <t>A区油罐</t>
  </si>
  <si>
    <t>B区油罐</t>
  </si>
  <si>
    <t>10kVⅠ 段</t>
  </si>
  <si>
    <t>KW</t>
  </si>
  <si>
    <t>室外柴发储油罐</t>
  </si>
  <si>
    <t>交班油量（L）</t>
  </si>
  <si>
    <t>10kVⅡ 段</t>
  </si>
  <si>
    <t>本班油量（L）</t>
  </si>
  <si>
    <t>10kVⅢ 段</t>
  </si>
  <si>
    <t>10kVⅣ 段</t>
  </si>
  <si>
    <t>供油可用时长（H）</t>
  </si>
  <si>
    <t>变压器负载率（MAX）</t>
  </si>
  <si>
    <t>燃油当前总储量（T）</t>
  </si>
  <si>
    <t>HVDC负载率（MAX）</t>
  </si>
  <si>
    <t>柴发带载百分比（max）</t>
  </si>
  <si>
    <t>UPS负载率（MAX）</t>
  </si>
  <si>
    <t>柴发自动状态（台）</t>
  </si>
  <si>
    <t>自动</t>
  </si>
  <si>
    <t>手动</t>
  </si>
  <si>
    <t>五、【暖通】</t>
  </si>
  <si>
    <t>制冷单元系统</t>
  </si>
  <si>
    <t>西区</t>
  </si>
  <si>
    <t>东区</t>
  </si>
  <si>
    <t>制冷量（KW）</t>
  </si>
  <si>
    <t>一次流量（m³/h）</t>
  </si>
  <si>
    <t>二次流量（m³/h）</t>
  </si>
  <si>
    <t>蓄冷流量（m³/h）</t>
  </si>
  <si>
    <t>蓄冷罐可用时长(分钟）</t>
  </si>
  <si>
    <t>西区：</t>
  </si>
  <si>
    <t>机组编号</t>
  </si>
  <si>
    <t>2#制冷单元 →板换模式</t>
  </si>
  <si>
    <t>5#制冷单元 →板换模式</t>
  </si>
  <si>
    <t>东区：</t>
  </si>
  <si>
    <t>设备</t>
  </si>
  <si>
    <t>冷机</t>
  </si>
  <si>
    <t>冷塔</t>
  </si>
  <si>
    <t>冷却泵</t>
  </si>
  <si>
    <t>一次泵</t>
  </si>
  <si>
    <t>板换</t>
  </si>
  <si>
    <t>补水可用时间（H）</t>
  </si>
  <si>
    <t>运行负荷</t>
  </si>
  <si>
    <t>冷却进水温度(℃)</t>
  </si>
  <si>
    <t>冷却进水压力（Mpa）</t>
  </si>
  <si>
    <t>本月总用水量m3</t>
  </si>
  <si>
    <t>冷冻水供水温度
(℃)</t>
  </si>
  <si>
    <t>频率(HZ)</t>
  </si>
  <si>
    <t>1#</t>
  </si>
  <si>
    <t>2#</t>
  </si>
  <si>
    <t>冷却出水温度(℃)</t>
  </si>
  <si>
    <t>冷却出水压力（Mpa）</t>
  </si>
  <si>
    <t>补水罐液位
西m</t>
  </si>
  <si>
    <t>冷却水进水温度
(℃)</t>
  </si>
  <si>
    <t>冷塔温度
设定值</t>
  </si>
  <si>
    <t>进水压力(Mpa)</t>
  </si>
  <si>
    <t>冷冻进水温度(℃)</t>
  </si>
  <si>
    <t>冷却进出水压差（Mpa）</t>
  </si>
  <si>
    <t>补水罐液位
东m</t>
  </si>
  <si>
    <t>冷凝压力
(Kpa)</t>
  </si>
  <si>
    <t>进水温度(℃)</t>
  </si>
  <si>
    <t>出水压力(Mpa)</t>
  </si>
  <si>
    <t>冷冻出水温度(℃)</t>
  </si>
  <si>
    <t>冷冻进水压力（Mpa）</t>
  </si>
  <si>
    <t>补水罐总储备量m3</t>
  </si>
  <si>
    <t>蒸发器小温差（℃）</t>
  </si>
  <si>
    <t>出水温度(℃)</t>
  </si>
  <si>
    <t>PH</t>
  </si>
  <si>
    <t>板换小温差（℃）</t>
  </si>
  <si>
    <t>冷冻出水压力（Mpa）</t>
  </si>
  <si>
    <t>暖通主要控制点
（依据实际控制点进行确定）</t>
  </si>
  <si>
    <t>冷凝器小温差（℃）</t>
  </si>
  <si>
    <t>电导率us/cm</t>
  </si>
  <si>
    <t>冷冻进出水压差（Mpa）</t>
  </si>
  <si>
    <t>单元 → 模式</t>
  </si>
  <si>
    <t>≤3</t>
  </si>
  <si>
    <t>PH（25℃）</t>
  </si>
  <si>
    <t>7.5-9.0</t>
  </si>
  <si>
    <t>＜1500</t>
  </si>
  <si>
    <t>包间温度（℃）</t>
  </si>
  <si>
    <t>24±2</t>
  </si>
  <si>
    <t>包间湿度（%）</t>
  </si>
  <si>
    <t>30-60</t>
  </si>
  <si>
    <t>电池间温度（℃）</t>
  </si>
  <si>
    <t>15-25</t>
  </si>
  <si>
    <t>制冷冗余</t>
  </si>
  <si>
    <t>1用2备</t>
  </si>
  <si>
    <t>二次泵系统</t>
  </si>
  <si>
    <t>主DDC
运行状态</t>
  </si>
  <si>
    <t>启用</t>
  </si>
  <si>
    <t>末端压差设定值</t>
  </si>
  <si>
    <t>末端压差最小值(Mpa)</t>
  </si>
  <si>
    <t>末端压差最大值(Mpa)</t>
  </si>
  <si>
    <t>末端压差设定值(Mpa)</t>
  </si>
  <si>
    <t>备DDC
运行状态</t>
  </si>
  <si>
    <t>备用</t>
  </si>
  <si>
    <t>2#二次泵</t>
  </si>
  <si>
    <t>5#二次泵</t>
  </si>
  <si>
    <t>频率
（Hz）</t>
  </si>
  <si>
    <t>二次泵进口压力（Mpa）</t>
  </si>
  <si>
    <t>二次泵出口压力（Mpa）</t>
  </si>
  <si>
    <t>压差
（Mpa）</t>
  </si>
  <si>
    <t>二次泵</t>
  </si>
  <si>
    <t>二次泵
冗余</t>
  </si>
  <si>
    <t>六、【设备变更】</t>
  </si>
  <si>
    <t>七、【施工情况】</t>
  </si>
  <si>
    <t>八、【MOP维保】</t>
  </si>
  <si>
    <t>九、【消防报警】</t>
  </si>
  <si>
    <t>十、【容量管理】</t>
  </si>
  <si>
    <t>110KV变电站</t>
  </si>
  <si>
    <t>机柜总数</t>
  </si>
  <si>
    <t>已上电机柜数</t>
  </si>
  <si>
    <t>IT机柜总
上电率</t>
  </si>
  <si>
    <t>进线</t>
  </si>
  <si>
    <t>线电压</t>
  </si>
  <si>
    <t>电流</t>
  </si>
  <si>
    <t>当前功率KW</t>
  </si>
  <si>
    <t>功率因数</t>
  </si>
  <si>
    <t>负载率</t>
  </si>
  <si>
    <t>每日用水量m3</t>
  </si>
  <si>
    <t>每日用电量kwh</t>
  </si>
  <si>
    <t>本月用电量kwh</t>
  </si>
  <si>
    <t>阿开</t>
  </si>
  <si>
    <t>阿家</t>
  </si>
  <si>
    <t>输出电流</t>
  </si>
  <si>
    <t>总功率KW</t>
  </si>
  <si>
    <t>IT总功率KW</t>
  </si>
  <si>
    <t>PUE</t>
  </si>
  <si>
    <t>IT规划负载</t>
  </si>
  <si>
    <t>IT实际负载</t>
  </si>
  <si>
    <t>IT负载率</t>
  </si>
  <si>
    <t>1#主变</t>
  </si>
  <si>
    <t>2#主变</t>
  </si>
  <si>
    <t>3#主变</t>
  </si>
  <si>
    <t>4#主变</t>
  </si>
  <si>
    <t>配电间</t>
  </si>
  <si>
    <t>变压器</t>
  </si>
  <si>
    <t>状态</t>
  </si>
  <si>
    <t>温度℃</t>
  </si>
  <si>
    <t>功率KW</t>
  </si>
  <si>
    <t>负载率%</t>
  </si>
  <si>
    <t>母联状态</t>
  </si>
  <si>
    <t>UPS</t>
  </si>
  <si>
    <t>输出功率KW</t>
  </si>
  <si>
    <t>运行
状态</t>
  </si>
  <si>
    <t>电池正极电压V</t>
  </si>
  <si>
    <t>输出电压V</t>
  </si>
  <si>
    <t>HVDC</t>
  </si>
  <si>
    <t>浮充电压V</t>
  </si>
  <si>
    <t>输出功率kw</t>
  </si>
  <si>
    <t>直流列头柜</t>
  </si>
  <si>
    <t>机房</t>
  </si>
  <si>
    <t>机房IT负载KW</t>
  </si>
  <si>
    <t>IT负载率%</t>
  </si>
  <si>
    <t>机柜总量</t>
  </si>
  <si>
    <t>已上电机柜量</t>
  </si>
  <si>
    <t>机柜上电率</t>
  </si>
  <si>
    <t>空调启台数</t>
  </si>
  <si>
    <t>空调冗余台数</t>
  </si>
  <si>
    <t>空调负载KW</t>
  </si>
  <si>
    <t>M1</t>
  </si>
  <si>
    <t>-245-TR101</t>
  </si>
  <si>
    <t>正常</t>
  </si>
  <si>
    <t>自投自复</t>
  </si>
  <si>
    <t>-245-UPS-101</t>
  </si>
  <si>
    <t>-245-HVDC-111</t>
  </si>
  <si>
    <t>-202-RPP-DC-1</t>
  </si>
  <si>
    <t>-245-HVDC-121</t>
  </si>
  <si>
    <t>-202-RPP-DC-3</t>
  </si>
  <si>
    <t>-245-HVDC-131</t>
  </si>
  <si>
    <t>-202-RPP-DC-5</t>
  </si>
  <si>
    <t>-245-HVDC-141</t>
  </si>
  <si>
    <t>-202-RPP-DC-7</t>
  </si>
  <si>
    <t>南侧</t>
  </si>
  <si>
    <t xml:space="preserve"> -245-HVDC-151</t>
  </si>
  <si>
    <t>-202-RPP-DC-9</t>
  </si>
  <si>
    <t>-245-TR102</t>
  </si>
  <si>
    <t xml:space="preserve"> -245-HVDC-211</t>
  </si>
  <si>
    <t>-202-RPP-DC-2</t>
  </si>
  <si>
    <t xml:space="preserve"> -245-HVDC-221</t>
  </si>
  <si>
    <t>-202-RPP-DC-4</t>
  </si>
  <si>
    <t xml:space="preserve"> -245-HVDC-231</t>
  </si>
  <si>
    <t>-202-RPP-DC-6</t>
  </si>
  <si>
    <t xml:space="preserve"> -245-HVDC-241</t>
  </si>
  <si>
    <t>-202-RPP-DC-8</t>
  </si>
  <si>
    <t>北侧</t>
  </si>
  <si>
    <t xml:space="preserve"> -245-HVDC-251</t>
  </si>
  <si>
    <t>-202-RPP-DC-10</t>
  </si>
  <si>
    <t>M2</t>
  </si>
  <si>
    <t>-218-TR201</t>
  </si>
  <si>
    <t>-218-UPS-101</t>
  </si>
  <si>
    <t xml:space="preserve"> -218-HVDC-111</t>
  </si>
  <si>
    <t>-201-RPP-DC-1</t>
  </si>
  <si>
    <t>0</t>
  </si>
  <si>
    <t xml:space="preserve"> -218-HVDC-121</t>
  </si>
  <si>
    <t>-201-RPP-DC-3</t>
  </si>
  <si>
    <t xml:space="preserve"> -218-HVDC-131</t>
  </si>
  <si>
    <t>-201-RPP-DC-5</t>
  </si>
  <si>
    <t xml:space="preserve"> -218-HVDC-141</t>
  </si>
  <si>
    <t>-201-RPP-DC-7</t>
  </si>
  <si>
    <t xml:space="preserve"> -218-HVDC-151</t>
  </si>
  <si>
    <t>-201-RPP-DC-9</t>
  </si>
  <si>
    <t>-218-TR202</t>
  </si>
  <si>
    <t xml:space="preserve"> -218-HVDC-211</t>
  </si>
  <si>
    <t>-201-RPP-DC-2</t>
  </si>
  <si>
    <t xml:space="preserve"> -218-HVDC-221</t>
  </si>
  <si>
    <t>-201-RPP-DC-4</t>
  </si>
  <si>
    <t xml:space="preserve"> -218-HVDC-231</t>
  </si>
  <si>
    <t>-201-RPP-DC-6</t>
  </si>
  <si>
    <t xml:space="preserve"> -218-HVDC-241</t>
  </si>
  <si>
    <t>-201-RPP-DC-8</t>
  </si>
  <si>
    <t xml:space="preserve"> -218-HVDC-251</t>
  </si>
  <si>
    <t>-201-RPP-DC-10</t>
  </si>
  <si>
    <t>M3</t>
  </si>
  <si>
    <t>-345-TR101</t>
  </si>
  <si>
    <t>-345-UPS-101</t>
  </si>
  <si>
    <t xml:space="preserve"> -345-HVDC-111</t>
  </si>
  <si>
    <t>-302-RPP-DC-1</t>
  </si>
  <si>
    <t xml:space="preserve"> -345-HVDC-121</t>
  </si>
  <si>
    <t>-302-RPP-DC-3</t>
  </si>
  <si>
    <t xml:space="preserve"> -345-HVDC-131</t>
  </si>
  <si>
    <t>-302-RPP-DC-5</t>
  </si>
  <si>
    <t xml:space="preserve"> -345-HVDC-141</t>
  </si>
  <si>
    <t>-302-RPP-DC-7</t>
  </si>
  <si>
    <t xml:space="preserve"> -345-HVDC-151</t>
  </si>
  <si>
    <t>-302-RPP-DC-9</t>
  </si>
  <si>
    <t xml:space="preserve"> -345-HVDC-161</t>
  </si>
  <si>
    <t>-302-RPP-DC-11</t>
  </si>
  <si>
    <t xml:space="preserve"> -345-HVDC-171</t>
  </si>
  <si>
    <t>-302-RPP-DC-13</t>
  </si>
  <si>
    <t>-345-TR102</t>
  </si>
  <si>
    <t xml:space="preserve"> -345-HVDC-211</t>
  </si>
  <si>
    <t>-302-RPP-DC-2</t>
  </si>
  <si>
    <t xml:space="preserve"> -345-HVDC-221</t>
  </si>
  <si>
    <t>-302-RPP-DC-4</t>
  </si>
  <si>
    <t xml:space="preserve"> -345-HVDC-231</t>
  </si>
  <si>
    <t>-302-RPP-DC-6</t>
  </si>
  <si>
    <t xml:space="preserve"> -345-HVDC-241</t>
  </si>
  <si>
    <t>-302-RPP-DC-8</t>
  </si>
  <si>
    <t xml:space="preserve"> -345-HVDC-251</t>
  </si>
  <si>
    <t>-302-RPP-DC-10</t>
  </si>
  <si>
    <t xml:space="preserve"> -345-HVDC-261</t>
  </si>
  <si>
    <t>-302-RPP-DC-12</t>
  </si>
  <si>
    <t xml:space="preserve"> -345-HVDC-271</t>
  </si>
  <si>
    <t>-302-RPP-DC-14</t>
  </si>
  <si>
    <t>M4</t>
  </si>
  <si>
    <t>-317-TR201</t>
  </si>
  <si>
    <t>-317-UPS-101</t>
  </si>
  <si>
    <t xml:space="preserve"> -317-HVDC-111</t>
  </si>
  <si>
    <t>-301-RPP-DC-1</t>
  </si>
  <si>
    <t xml:space="preserve"> -317-HVDC-121</t>
  </si>
  <si>
    <t>-301-RPP-DC-3</t>
  </si>
  <si>
    <t xml:space="preserve"> -317-HVDC-131</t>
  </si>
  <si>
    <t>-301-RPP-DC-5</t>
  </si>
  <si>
    <t xml:space="preserve"> -317-HVDC-141</t>
  </si>
  <si>
    <t>-301-RPP-DC-7</t>
  </si>
  <si>
    <t xml:space="preserve"> -317-HVDC-151</t>
  </si>
  <si>
    <t>-301-RPP-DC-9</t>
  </si>
  <si>
    <t xml:space="preserve"> -317-HVDC-161</t>
  </si>
  <si>
    <t>-301-RPP-DC-11</t>
  </si>
  <si>
    <t xml:space="preserve"> -317-HVDC-171</t>
  </si>
  <si>
    <t>-301-RPP-DC-13</t>
  </si>
  <si>
    <t>-317-TR202</t>
  </si>
  <si>
    <t xml:space="preserve"> -317-HVDC-211</t>
  </si>
  <si>
    <t>-301-RPP-DC-2</t>
  </si>
  <si>
    <t xml:space="preserve"> -317-HVDC-221</t>
  </si>
  <si>
    <t>-301-RPP-DC-4</t>
  </si>
  <si>
    <t xml:space="preserve"> -317-HVDC-231</t>
  </si>
  <si>
    <t>-301-RPP-DC-6</t>
  </si>
  <si>
    <t xml:space="preserve"> -317-HVDC-241</t>
  </si>
  <si>
    <t>-301-RPP-DC-8</t>
  </si>
  <si>
    <t xml:space="preserve"> -317-HVDC-251</t>
  </si>
  <si>
    <t>-301-RPP-DC-10</t>
  </si>
  <si>
    <t xml:space="preserve"> -317-HVDC-261</t>
  </si>
  <si>
    <t>-301-RPP-DC-12</t>
  </si>
  <si>
    <t xml:space="preserve"> -317-HVDC-271</t>
  </si>
  <si>
    <t>-301-RPP-DC-14</t>
  </si>
  <si>
    <t>M5</t>
  </si>
  <si>
    <t>-445-TR101</t>
  </si>
  <si>
    <t>-445-UPS-101</t>
  </si>
  <si>
    <t>-445-HVDC-111</t>
  </si>
  <si>
    <t>-402-RPP-DC-1</t>
  </si>
  <si>
    <t>-445-HVDC-121</t>
  </si>
  <si>
    <t>-402-RPP-DC-3</t>
  </si>
  <si>
    <t>-445-HVDC-131</t>
  </si>
  <si>
    <t>-402-RPP-DC-5</t>
  </si>
  <si>
    <t>-445-HVDC-141</t>
  </si>
  <si>
    <t>-402-RPP-DC-7</t>
  </si>
  <si>
    <t>-445-HVDC-151</t>
  </si>
  <si>
    <t>-402-RPP-DC-9</t>
  </si>
  <si>
    <t>-445-TR102</t>
  </si>
  <si>
    <t>-445-HVDC-211</t>
  </si>
  <si>
    <t>-402-RPP-DC-2</t>
  </si>
  <si>
    <t>-445-HVDC-221</t>
  </si>
  <si>
    <t>-402-RPP-DC-4</t>
  </si>
  <si>
    <t>-445-HVDC-231</t>
  </si>
  <si>
    <t>-402-RPP-DC-6</t>
  </si>
  <si>
    <t>-445-HVDC-241</t>
  </si>
  <si>
    <t>-402-RPP-DC-8</t>
  </si>
  <si>
    <t>-445-HVDC-251</t>
  </si>
  <si>
    <t>-402-RPP-DC-10</t>
  </si>
  <si>
    <t>M6</t>
  </si>
  <si>
    <t>-417-TR201</t>
  </si>
  <si>
    <t>-417-UPS-101</t>
  </si>
  <si>
    <t>-417-HVDC-111</t>
  </si>
  <si>
    <t>-401-RPP-DC-1</t>
  </si>
  <si>
    <t>170</t>
  </si>
  <si>
    <t>-417-HVDC-121</t>
  </si>
  <si>
    <t>-401-RPP-DC-3</t>
  </si>
  <si>
    <t>-417-HVDC-131</t>
  </si>
  <si>
    <t>-401-RPP-DC-5</t>
  </si>
  <si>
    <t>-417-HVDC-141</t>
  </si>
  <si>
    <t>-401-RPP-DC-7</t>
  </si>
  <si>
    <t>-417-HVDC-151</t>
  </si>
  <si>
    <t>-401-RPP-DC-9</t>
  </si>
  <si>
    <t>-417-TR202</t>
  </si>
  <si>
    <t>-417-HVDC-211</t>
  </si>
  <si>
    <t>-401-RPP-DC-2</t>
  </si>
  <si>
    <t>-417-HVDC-221</t>
  </si>
  <si>
    <t>-401-RPP-DC-4</t>
  </si>
  <si>
    <t>-417-HVDC-231</t>
  </si>
  <si>
    <t>-401-RPP-DC-6</t>
  </si>
  <si>
    <t>-417-HVDC-241</t>
  </si>
  <si>
    <t>-401-RPP-DC-8</t>
  </si>
  <si>
    <t>-417-HVDC-251</t>
  </si>
  <si>
    <t>-401-RPP-DC-10</t>
  </si>
  <si>
    <t>P1</t>
  </si>
  <si>
    <t>-144-TR101</t>
  </si>
  <si>
    <t>-144-UPS-101</t>
  </si>
  <si>
    <t>-144-TR102</t>
  </si>
  <si>
    <t>-144-UPS-201</t>
  </si>
  <si>
    <t>P2</t>
  </si>
  <si>
    <t>-120-TR201</t>
  </si>
  <si>
    <t>-120-UPS-101</t>
  </si>
  <si>
    <t>-120-TR202</t>
  </si>
  <si>
    <t>-120-UPS-201</t>
  </si>
  <si>
    <t>挖潜机房</t>
  </si>
  <si>
    <t>房间</t>
  </si>
  <si>
    <t>列头柜</t>
  </si>
  <si>
    <t>进线功率</t>
  </si>
  <si>
    <t>203</t>
  </si>
  <si>
    <t>A-203-A列-DC001</t>
  </si>
  <si>
    <t>28</t>
  </si>
  <si>
    <t>A-203-A列-DC002</t>
  </si>
  <si>
    <t>A-203-B列-DC003</t>
  </si>
  <si>
    <t>A-203-B列-DC004</t>
  </si>
  <si>
    <t>A-203-C列-DC005</t>
  </si>
  <si>
    <t>A-203-C列-DC006</t>
  </si>
  <si>
    <t>A-203-D列-DC007</t>
  </si>
  <si>
    <t>A-203-D列-DC008</t>
  </si>
  <si>
    <t>303</t>
  </si>
  <si>
    <t>A-303-A列-DC001</t>
  </si>
  <si>
    <t>A-303-A列-DC002</t>
  </si>
  <si>
    <t>A-303-B列-DC003</t>
  </si>
  <si>
    <t>A-303-B列-DC004</t>
  </si>
  <si>
    <t>A-303-C列-DC005</t>
  </si>
  <si>
    <t>A-303-C列-DC006</t>
  </si>
  <si>
    <t>A-303-D列-DC007</t>
  </si>
  <si>
    <t>A-303-D列-DC008</t>
  </si>
  <si>
    <t>403</t>
  </si>
  <si>
    <t>A-403-A列-DC001</t>
  </si>
  <si>
    <t>A-403-B列-DC002</t>
  </si>
  <si>
    <t>A-403-C列-DC003</t>
  </si>
  <si>
    <t>A-403-D列-DC004</t>
  </si>
  <si>
    <t>仅需修改绿色部分</t>
  </si>
  <si>
    <t>1#油罐</t>
  </si>
  <si>
    <t>2#油罐</t>
  </si>
  <si>
    <t>1#油箱</t>
  </si>
  <si>
    <t>2#油箱</t>
  </si>
  <si>
    <t>3#油箱</t>
  </si>
  <si>
    <t>4#油箱</t>
  </si>
  <si>
    <t>5#油箱</t>
  </si>
  <si>
    <t>6#油箱</t>
  </si>
  <si>
    <t>7#油箱</t>
  </si>
  <si>
    <t>8#油箱</t>
  </si>
  <si>
    <t>9#油箱</t>
  </si>
  <si>
    <t>10#油箱</t>
  </si>
  <si>
    <t>11#油箱</t>
  </si>
  <si>
    <t>12#油箱</t>
  </si>
  <si>
    <t>13#油箱</t>
  </si>
  <si>
    <t>14#油箱</t>
  </si>
  <si>
    <t>总油量</t>
  </si>
  <si>
    <t>油位cm</t>
  </si>
  <si>
    <t>储油量（L）</t>
  </si>
  <si>
    <t>储油量（t）(注：柴油密度取0.86kg/L)</t>
  </si>
  <si>
    <t>罐储油量参照表：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</si>
</sst>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0.0_ "/>
    <numFmt numFmtId="180" formatCode="0.0%"/>
  </numFmts>
  <fonts count="4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等线"/>
      <charset val="134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6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1"/>
      <color theme="1"/>
      <name val="宋体"/>
      <charset val="134"/>
      <scheme val="minor"/>
    </font>
    <font>
      <sz val="16"/>
      <color rgb="FFFFFFFF"/>
      <name val="等线"/>
      <charset val="134"/>
    </font>
    <font>
      <b/>
      <sz val="16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b/>
      <sz val="14"/>
      <color theme="0"/>
      <name val="宋体"/>
      <charset val="134"/>
      <scheme val="minor"/>
    </font>
    <font>
      <sz val="9"/>
      <color indexed="8"/>
      <name val="等线"/>
      <charset val="134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0" fillId="14" borderId="3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31">
      <alignment vertical="center"/>
    </xf>
    <xf numFmtId="0" fontId="29" fillId="0" borderId="31">
      <alignment vertical="center"/>
    </xf>
    <xf numFmtId="0" fontId="30" fillId="0" borderId="32">
      <alignment vertical="center"/>
    </xf>
    <xf numFmtId="0" fontId="30" fillId="0" borderId="0">
      <alignment vertical="center"/>
    </xf>
    <xf numFmtId="0" fontId="31" fillId="15" borderId="33">
      <alignment vertical="center"/>
    </xf>
    <xf numFmtId="0" fontId="32" fillId="16" borderId="34">
      <alignment vertical="center"/>
    </xf>
    <xf numFmtId="0" fontId="33" fillId="16" borderId="33">
      <alignment vertical="center"/>
    </xf>
    <xf numFmtId="0" fontId="34" fillId="17" borderId="35">
      <alignment vertical="center"/>
    </xf>
    <xf numFmtId="0" fontId="35" fillId="0" borderId="36">
      <alignment vertical="center"/>
    </xf>
    <xf numFmtId="0" fontId="36" fillId="0" borderId="37">
      <alignment vertical="center"/>
    </xf>
    <xf numFmtId="0" fontId="37" fillId="18" borderId="0">
      <alignment vertical="center"/>
    </xf>
    <xf numFmtId="0" fontId="38" fillId="19" borderId="0">
      <alignment vertical="center"/>
    </xf>
    <xf numFmtId="0" fontId="39" fillId="20" borderId="0">
      <alignment vertical="center"/>
    </xf>
    <xf numFmtId="0" fontId="40" fillId="21" borderId="0">
      <alignment vertical="center"/>
    </xf>
    <xf numFmtId="0" fontId="41" fillId="22" borderId="0">
      <alignment vertical="center"/>
    </xf>
    <xf numFmtId="0" fontId="41" fillId="4" borderId="0">
      <alignment vertical="center"/>
    </xf>
    <xf numFmtId="0" fontId="40" fillId="23" borderId="0">
      <alignment vertical="center"/>
    </xf>
    <xf numFmtId="0" fontId="40" fillId="24" borderId="0">
      <alignment vertical="center"/>
    </xf>
    <xf numFmtId="0" fontId="41" fillId="25" borderId="0">
      <alignment vertical="center"/>
    </xf>
    <xf numFmtId="0" fontId="41" fillId="26" borderId="0">
      <alignment vertical="center"/>
    </xf>
    <xf numFmtId="0" fontId="40" fillId="27" borderId="0">
      <alignment vertical="center"/>
    </xf>
    <xf numFmtId="0" fontId="40" fillId="28" borderId="0">
      <alignment vertical="center"/>
    </xf>
    <xf numFmtId="0" fontId="41" fillId="29" borderId="0">
      <alignment vertical="center"/>
    </xf>
    <xf numFmtId="0" fontId="41" fillId="30" borderId="0">
      <alignment vertical="center"/>
    </xf>
    <xf numFmtId="0" fontId="40" fillId="31" borderId="0">
      <alignment vertical="center"/>
    </xf>
    <xf numFmtId="0" fontId="40" fillId="32" borderId="0">
      <alignment vertical="center"/>
    </xf>
    <xf numFmtId="0" fontId="41" fillId="33" borderId="0">
      <alignment vertical="center"/>
    </xf>
    <xf numFmtId="0" fontId="41" fillId="34" borderId="0">
      <alignment vertical="center"/>
    </xf>
    <xf numFmtId="0" fontId="40" fillId="35" borderId="0">
      <alignment vertical="center"/>
    </xf>
    <xf numFmtId="0" fontId="40" fillId="36" borderId="0">
      <alignment vertical="center"/>
    </xf>
    <xf numFmtId="0" fontId="41" fillId="37" borderId="0">
      <alignment vertical="center"/>
    </xf>
    <xf numFmtId="0" fontId="41" fillId="38" borderId="0">
      <alignment vertical="center"/>
    </xf>
    <xf numFmtId="0" fontId="40" fillId="39" borderId="0">
      <alignment vertical="center"/>
    </xf>
    <xf numFmtId="0" fontId="40" fillId="40" borderId="0">
      <alignment vertical="center"/>
    </xf>
    <xf numFmtId="0" fontId="41" fillId="41" borderId="0">
      <alignment vertical="center"/>
    </xf>
    <xf numFmtId="0" fontId="41" fillId="42" borderId="0">
      <alignment vertical="center"/>
    </xf>
    <xf numFmtId="0" fontId="40" fillId="43" borderId="0">
      <alignment vertical="center"/>
    </xf>
    <xf numFmtId="0" fontId="0" fillId="0" borderId="0">
      <alignment vertical="center"/>
    </xf>
  </cellStyleXfs>
  <cellXfs count="195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/>
    <xf numFmtId="31" fontId="2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2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/>
    <xf numFmtId="3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9" fontId="0" fillId="3" borderId="1" xfId="3" applyFill="1" applyBorder="1" applyAlignment="1">
      <alignment horizontal="center" vertical="center"/>
    </xf>
    <xf numFmtId="0" fontId="0" fillId="0" borderId="7" xfId="0" applyBorder="1" applyAlignment="1"/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6" fillId="3" borderId="1" xfId="49" applyFont="1" applyFill="1" applyBorder="1" applyAlignment="1">
      <alignment horizontal="center" vertical="center"/>
    </xf>
    <xf numFmtId="178" fontId="7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0" fontId="6" fillId="3" borderId="1" xfId="49" applyNumberFormat="1" applyFont="1" applyFill="1" applyBorder="1" applyAlignment="1">
      <alignment horizontal="center" vertical="center"/>
    </xf>
    <xf numFmtId="0" fontId="0" fillId="0" borderId="3" xfId="0" applyNumberFormat="1" applyBorder="1" applyAlignment="1"/>
    <xf numFmtId="0" fontId="0" fillId="0" borderId="4" xfId="0" applyNumberFormat="1" applyBorder="1" applyAlignment="1"/>
    <xf numFmtId="0" fontId="7" fillId="3" borderId="1" xfId="49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9" xfId="0" applyBorder="1" applyAlignment="1"/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178" fontId="7" fillId="0" borderId="15" xfId="0" applyNumberFormat="1" applyFont="1" applyBorder="1" applyAlignment="1">
      <alignment horizontal="center" vertical="center" wrapText="1"/>
    </xf>
    <xf numFmtId="0" fontId="0" fillId="0" borderId="16" xfId="0" applyBorder="1" applyAlignment="1"/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/>
    <xf numFmtId="0" fontId="0" fillId="0" borderId="17" xfId="0" applyBorder="1" applyAlignment="1"/>
    <xf numFmtId="0" fontId="0" fillId="0" borderId="18" xfId="0" applyBorder="1" applyAlignment="1"/>
    <xf numFmtId="0" fontId="0" fillId="3" borderId="18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0" fillId="0" borderId="3" xfId="0" applyNumberFormat="1" applyBorder="1" applyAlignment="1"/>
    <xf numFmtId="10" fontId="0" fillId="0" borderId="4" xfId="0" applyNumberFormat="1" applyBorder="1" applyAlignment="1"/>
    <xf numFmtId="178" fontId="7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/>
    <xf numFmtId="176" fontId="0" fillId="3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 wrapText="1"/>
    </xf>
    <xf numFmtId="0" fontId="6" fillId="6" borderId="1" xfId="49" applyNumberFormat="1" applyFont="1" applyFill="1" applyBorder="1" applyAlignment="1">
      <alignment horizontal="center" vertical="center" wrapText="1"/>
    </xf>
    <xf numFmtId="9" fontId="0" fillId="3" borderId="1" xfId="3" applyNumberForma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76" fontId="6" fillId="6" borderId="1" xfId="49" applyNumberFormat="1" applyFont="1" applyFill="1" applyBorder="1" applyAlignment="1">
      <alignment horizontal="center" vertical="center"/>
    </xf>
    <xf numFmtId="179" fontId="6" fillId="6" borderId="1" xfId="49" applyNumberFormat="1" applyFont="1" applyFill="1" applyBorder="1" applyAlignment="1">
      <alignment horizontal="center" vertical="center" wrapText="1"/>
    </xf>
    <xf numFmtId="0" fontId="0" fillId="0" borderId="9" xfId="0" applyNumberFormat="1" applyBorder="1" applyAlignment="1"/>
    <xf numFmtId="0" fontId="0" fillId="0" borderId="7" xfId="0" applyNumberFormat="1" applyBorder="1" applyAlignment="1"/>
    <xf numFmtId="0" fontId="0" fillId="0" borderId="17" xfId="0" applyNumberFormat="1" applyBorder="1" applyAlignment="1"/>
    <xf numFmtId="0" fontId="0" fillId="0" borderId="2" xfId="0" applyNumberFormat="1" applyBorder="1" applyAlignment="1"/>
    <xf numFmtId="0" fontId="0" fillId="0" borderId="18" xfId="0" applyNumberFormat="1" applyBorder="1" applyAlignment="1"/>
    <xf numFmtId="176" fontId="6" fillId="6" borderId="1" xfId="49" applyNumberFormat="1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6" borderId="1" xfId="3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center" vertical="center"/>
    </xf>
    <xf numFmtId="0" fontId="0" fillId="0" borderId="21" xfId="0" applyBorder="1" applyAlignment="1"/>
    <xf numFmtId="0" fontId="12" fillId="8" borderId="1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0" fontId="14" fillId="9" borderId="20" xfId="0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5" xfId="0" applyBorder="1" applyAlignment="1"/>
    <xf numFmtId="0" fontId="0" fillId="3" borderId="26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3" borderId="1" xfId="0" applyFill="1" applyBorder="1" applyAlignment="1">
      <alignment horizontal="center"/>
    </xf>
    <xf numFmtId="0" fontId="17" fillId="0" borderId="0" xfId="0" applyFont="1" applyAlignment="1">
      <alignment vertical="center"/>
    </xf>
    <xf numFmtId="0" fontId="0" fillId="3" borderId="23" xfId="0" applyFill="1" applyBorder="1" applyAlignment="1">
      <alignment horizontal="center" vertical="center" wrapText="1"/>
    </xf>
    <xf numFmtId="0" fontId="0" fillId="10" borderId="1" xfId="0" applyNumberFormat="1" applyFill="1" applyBorder="1" applyAlignment="1">
      <alignment horizontal="center" vertical="center"/>
    </xf>
    <xf numFmtId="10" fontId="14" fillId="9" borderId="0" xfId="0" applyNumberFormat="1" applyFont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10" fontId="0" fillId="3" borderId="0" xfId="0" applyNumberFormat="1" applyFill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49" fontId="22" fillId="11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29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3" borderId="14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80" fontId="1" fillId="3" borderId="8" xfId="0" applyNumberFormat="1" applyFont="1" applyFill="1" applyBorder="1" applyAlignment="1">
      <alignment horizontal="center" vertical="center"/>
    </xf>
    <xf numFmtId="180" fontId="1" fillId="3" borderId="7" xfId="0" applyNumberFormat="1" applyFont="1" applyFill="1" applyBorder="1" applyAlignment="1">
      <alignment horizontal="center" vertical="center"/>
    </xf>
    <xf numFmtId="49" fontId="1" fillId="3" borderId="29" xfId="0" applyNumberFormat="1" applyFont="1" applyFill="1" applyBorder="1" applyAlignment="1">
      <alignment horizontal="center" vertical="center" wrapText="1"/>
    </xf>
    <xf numFmtId="180" fontId="1" fillId="3" borderId="29" xfId="0" applyNumberFormat="1" applyFont="1" applyFill="1" applyBorder="1" applyAlignment="1">
      <alignment horizontal="center" vertical="center"/>
    </xf>
    <xf numFmtId="180" fontId="1" fillId="3" borderId="10" xfId="0" applyNumberFormat="1" applyFont="1" applyFill="1" applyBorder="1" applyAlignment="1">
      <alignment horizontal="center" vertical="center"/>
    </xf>
    <xf numFmtId="180" fontId="1" fillId="3" borderId="11" xfId="0" applyNumberFormat="1" applyFont="1" applyFill="1" applyBorder="1" applyAlignment="1">
      <alignment horizontal="center" vertical="center"/>
    </xf>
    <xf numFmtId="49" fontId="1" fillId="3" borderId="14" xfId="0" applyNumberFormat="1" applyFont="1" applyFill="1" applyBorder="1" applyAlignment="1">
      <alignment horizontal="center" vertical="center" wrapText="1"/>
    </xf>
    <xf numFmtId="180" fontId="1" fillId="3" borderId="14" xfId="0" applyNumberFormat="1" applyFont="1" applyFill="1" applyBorder="1" applyAlignment="1">
      <alignment horizontal="center" vertical="center"/>
    </xf>
    <xf numFmtId="49" fontId="1" fillId="12" borderId="5" xfId="0" applyNumberFormat="1" applyFont="1" applyFill="1" applyBorder="1" applyAlignment="1">
      <alignment horizontal="center" vertical="center"/>
    </xf>
    <xf numFmtId="49" fontId="1" fillId="12" borderId="3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3" borderId="5" xfId="0" applyNumberFormat="1" applyFont="1" applyFill="1" applyBorder="1" applyAlignment="1">
      <alignment horizontal="center" vertical="center"/>
    </xf>
    <xf numFmtId="49" fontId="1" fillId="13" borderId="3" xfId="0" applyNumberFormat="1" applyFont="1" applyFill="1" applyBorder="1" applyAlignment="1">
      <alignment horizontal="center" vertical="center"/>
    </xf>
    <xf numFmtId="49" fontId="1" fillId="13" borderId="4" xfId="0" applyNumberFormat="1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10" fontId="1" fillId="0" borderId="5" xfId="0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0" fontId="1" fillId="0" borderId="8" xfId="0" applyNumberFormat="1" applyFont="1" applyFill="1" applyBorder="1" applyAlignment="1">
      <alignment horizontal="center" vertical="center" wrapText="1"/>
    </xf>
    <xf numFmtId="10" fontId="1" fillId="0" borderId="7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0" fontId="1" fillId="0" borderId="10" xfId="0" applyNumberFormat="1" applyFont="1" applyFill="1" applyBorder="1" applyAlignment="1">
      <alignment horizontal="center" vertical="center" wrapText="1"/>
    </xf>
    <xf numFmtId="10" fontId="1" fillId="0" borderId="11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10" fontId="1" fillId="0" borderId="17" xfId="0" applyNumberFormat="1" applyFont="1" applyFill="1" applyBorder="1" applyAlignment="1">
      <alignment horizontal="center" vertical="center" wrapText="1"/>
    </xf>
    <xf numFmtId="10" fontId="1" fillId="0" borderId="18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78"/>
  <sheetViews>
    <sheetView tabSelected="1" view="pageBreakPreview" zoomScale="55" zoomScaleNormal="85" topLeftCell="A124" workbookViewId="0">
      <selection activeCell="T154" sqref="T154"/>
    </sheetView>
  </sheetViews>
  <sheetFormatPr defaultColWidth="9" defaultRowHeight="14"/>
  <cols>
    <col min="2" max="2" width="18.1818181818182" style="1" customWidth="1"/>
    <col min="3" max="3" width="9" style="1" customWidth="1"/>
    <col min="5" max="5" width="9" style="1" customWidth="1"/>
    <col min="6" max="6" width="11.9363636363636" style="1" customWidth="1"/>
    <col min="7" max="8" width="9" style="1" customWidth="1"/>
    <col min="9" max="9" width="16.4090909090909" style="1" customWidth="1"/>
    <col min="10" max="11" width="9" style="1" customWidth="1"/>
    <col min="12" max="12" width="11.9363636363636" style="1" customWidth="1"/>
    <col min="13" max="13" width="9" style="1" customWidth="1"/>
    <col min="14" max="14" width="11.9" style="1" customWidth="1"/>
    <col min="15" max="15" width="38.1818181818182" style="1" customWidth="1"/>
    <col min="16" max="18" width="9" style="1" customWidth="1"/>
    <col min="19" max="19" width="12.5909090909091" style="1" customWidth="1"/>
    <col min="20" max="20" width="16.5090909090909" style="1" customWidth="1"/>
    <col min="21" max="21" width="9" style="1" customWidth="1"/>
    <col min="22" max="22" width="14.1545454545455" style="1" customWidth="1"/>
    <col min="23" max="24" width="9" style="1" customWidth="1"/>
    <col min="25" max="25" width="10.2545454545455" style="1" customWidth="1"/>
    <col min="26" max="27" width="9" style="1" customWidth="1"/>
    <col min="28" max="28" width="17.4181818181818" style="1" customWidth="1"/>
    <col min="31" max="31" width="11" style="1" customWidth="1"/>
  </cols>
  <sheetData>
    <row r="1" ht="18.75" customHeight="1" spans="1:3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ht="18.75" customHeight="1" spans="1:31">
      <c r="A2" s="14" t="s">
        <v>0</v>
      </c>
      <c r="B2" s="15"/>
      <c r="C2" s="16"/>
      <c r="D2" s="17"/>
      <c r="E2" s="15"/>
      <c r="F2" s="15"/>
      <c r="G2" s="15"/>
      <c r="H2" s="16"/>
      <c r="I2" s="18" t="s">
        <v>1</v>
      </c>
      <c r="J2" s="19"/>
      <c r="K2" s="20"/>
      <c r="L2" s="21"/>
      <c r="M2" s="15"/>
      <c r="N2" s="16"/>
      <c r="O2" s="22" t="s">
        <v>2</v>
      </c>
      <c r="P2" s="15"/>
      <c r="Q2" s="16"/>
      <c r="R2" s="23"/>
      <c r="S2" s="15"/>
      <c r="T2" s="16"/>
      <c r="U2" s="22" t="s">
        <v>3</v>
      </c>
      <c r="V2" s="15"/>
      <c r="W2" s="16"/>
      <c r="X2" s="24"/>
      <c r="Y2" s="22" t="s">
        <v>4</v>
      </c>
      <c r="Z2" s="15"/>
      <c r="AA2" s="16"/>
      <c r="AB2" s="23"/>
      <c r="AC2" s="16"/>
      <c r="AD2" s="25"/>
      <c r="AE2" s="26"/>
    </row>
    <row r="3" ht="13.5" customHeight="1" spans="1:31">
      <c r="A3" s="27" t="s">
        <v>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</row>
    <row r="4" ht="18.75" customHeight="1" spans="1:31">
      <c r="A4" s="28"/>
      <c r="B4" s="29" t="s">
        <v>6</v>
      </c>
      <c r="C4" s="29" t="s">
        <v>7</v>
      </c>
      <c r="D4" s="16"/>
      <c r="E4" s="30" t="s">
        <v>8</v>
      </c>
      <c r="F4" s="15"/>
      <c r="G4" s="29" t="s">
        <v>9</v>
      </c>
      <c r="H4" s="16"/>
      <c r="I4" s="29" t="s">
        <v>10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29"/>
      <c r="Y4" s="15"/>
      <c r="Z4" s="16"/>
      <c r="AA4" s="29" t="s">
        <v>11</v>
      </c>
      <c r="AB4" s="29" t="s">
        <v>12</v>
      </c>
      <c r="AC4" s="29" t="s">
        <v>13</v>
      </c>
      <c r="AD4" s="29" t="s">
        <v>14</v>
      </c>
      <c r="AE4" s="16"/>
    </row>
    <row r="5" ht="18.75" customHeight="1" spans="1:31">
      <c r="A5" s="31"/>
      <c r="B5" s="29" t="s">
        <v>15</v>
      </c>
      <c r="C5" s="32" t="s">
        <v>15</v>
      </c>
      <c r="D5" s="16"/>
      <c r="E5" s="30"/>
      <c r="F5" s="15"/>
      <c r="G5" s="29"/>
      <c r="H5" s="16"/>
      <c r="I5" s="28" t="s">
        <v>15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  <c r="X5" s="28" t="s">
        <v>15</v>
      </c>
      <c r="Y5" s="15"/>
      <c r="Z5" s="16"/>
      <c r="AA5" s="28" t="s">
        <v>15</v>
      </c>
      <c r="AC5" s="28" t="s">
        <v>15</v>
      </c>
      <c r="AD5" s="28" t="s">
        <v>15</v>
      </c>
      <c r="AE5" s="16"/>
    </row>
    <row r="6" ht="18" customHeight="1" spans="1:31">
      <c r="A6" s="27" t="s">
        <v>16</v>
      </c>
      <c r="B6" s="16"/>
      <c r="C6" s="30" t="s">
        <v>17</v>
      </c>
      <c r="D6" s="15"/>
      <c r="E6" s="15"/>
      <c r="F6" s="15"/>
      <c r="G6" s="29"/>
      <c r="H6" s="15"/>
      <c r="I6" s="16"/>
      <c r="J6" s="29" t="s">
        <v>18</v>
      </c>
      <c r="K6" s="15"/>
      <c r="L6" s="16"/>
      <c r="M6" s="33"/>
      <c r="P6" s="29"/>
      <c r="Q6" s="15"/>
      <c r="R6" s="16"/>
      <c r="S6" s="29" t="s">
        <v>19</v>
      </c>
      <c r="T6" s="16"/>
      <c r="U6" s="9"/>
      <c r="V6" s="15"/>
      <c r="W6" s="15"/>
      <c r="X6" s="16"/>
      <c r="Z6" s="34"/>
      <c r="AA6" s="34"/>
      <c r="AB6" s="34"/>
      <c r="AC6" s="34"/>
      <c r="AD6" s="34"/>
      <c r="AE6" s="35"/>
    </row>
    <row r="7" ht="18.75" customHeight="1" spans="1:31">
      <c r="A7" s="28"/>
      <c r="B7" s="28"/>
      <c r="C7" s="30" t="s">
        <v>20</v>
      </c>
      <c r="D7" s="15"/>
      <c r="E7" s="15"/>
      <c r="F7" s="36"/>
      <c r="G7" s="37" t="s">
        <v>15</v>
      </c>
      <c r="H7" s="15"/>
      <c r="I7" s="15"/>
      <c r="J7" s="15"/>
      <c r="K7" s="15"/>
      <c r="L7" s="15"/>
      <c r="M7" s="15"/>
      <c r="N7" s="15"/>
      <c r="O7" s="16"/>
      <c r="P7" s="29" t="s">
        <v>21</v>
      </c>
      <c r="Q7" s="15"/>
      <c r="R7" s="16"/>
      <c r="S7" s="38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</row>
    <row r="8" ht="18.75" customHeight="1" spans="1:31">
      <c r="A8" s="39" t="s">
        <v>22</v>
      </c>
      <c r="B8" s="15"/>
      <c r="C8" s="15"/>
      <c r="D8" s="15"/>
      <c r="E8" s="15"/>
      <c r="F8" s="15"/>
      <c r="G8" s="29" t="s">
        <v>23</v>
      </c>
      <c r="H8" s="15"/>
      <c r="I8" s="16"/>
      <c r="J8" s="29" t="s">
        <v>24</v>
      </c>
      <c r="K8" s="16"/>
      <c r="L8" s="37"/>
      <c r="M8" s="29" t="s">
        <v>25</v>
      </c>
      <c r="N8" s="16"/>
      <c r="O8" s="29">
        <v>0</v>
      </c>
      <c r="P8" s="29" t="s">
        <v>26</v>
      </c>
      <c r="Q8" s="15"/>
      <c r="R8" s="16"/>
      <c r="S8" s="40" t="s">
        <v>15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6"/>
    </row>
    <row r="9" ht="18.75" customHeight="1" spans="1:31">
      <c r="A9" s="41"/>
      <c r="B9" s="15"/>
      <c r="C9" s="15"/>
      <c r="D9" s="15"/>
      <c r="E9" s="15"/>
      <c r="F9" s="15"/>
      <c r="G9" s="29" t="s">
        <v>27</v>
      </c>
      <c r="H9" s="15"/>
      <c r="I9" s="16"/>
      <c r="J9" s="29" t="s">
        <v>24</v>
      </c>
      <c r="K9" s="16"/>
      <c r="M9" s="29" t="s">
        <v>25</v>
      </c>
      <c r="N9" s="16"/>
      <c r="O9" s="42" t="e">
        <f>(L8-#REF!)/#REF!*100%</f>
        <v>#REF!</v>
      </c>
      <c r="P9" s="29" t="s">
        <v>26</v>
      </c>
      <c r="Q9" s="15"/>
      <c r="R9" s="16"/>
      <c r="S9" s="40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6"/>
    </row>
    <row r="10" ht="17.5" customHeight="1" spans="1:31">
      <c r="A10" s="27" t="s">
        <v>28</v>
      </c>
      <c r="B10" s="16"/>
      <c r="C10" s="28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6"/>
    </row>
    <row r="11" ht="17.5" customHeight="1" spans="1:31">
      <c r="A11" s="29" t="s">
        <v>29</v>
      </c>
      <c r="B11" s="43"/>
      <c r="C11" s="30" t="s">
        <v>30</v>
      </c>
      <c r="D11" s="15"/>
      <c r="E11" s="15"/>
      <c r="F11" s="15"/>
      <c r="G11" s="29" t="s">
        <v>31</v>
      </c>
      <c r="H11" s="15"/>
      <c r="I11" s="16"/>
      <c r="J11" s="29" t="s">
        <v>32</v>
      </c>
      <c r="K11" s="15"/>
      <c r="L11" s="16"/>
      <c r="M11" s="29" t="s">
        <v>33</v>
      </c>
      <c r="N11" s="16"/>
      <c r="O11" s="28"/>
      <c r="P11" s="28"/>
      <c r="Q11" s="15"/>
      <c r="R11" s="15"/>
      <c r="S11" s="15"/>
      <c r="T11" s="16"/>
      <c r="U11" s="29" t="s">
        <v>34</v>
      </c>
      <c r="V11" s="15"/>
      <c r="W11" s="16"/>
      <c r="X11" s="29" t="s">
        <v>35</v>
      </c>
      <c r="Y11" s="16"/>
      <c r="Z11" s="44"/>
      <c r="AA11" s="45"/>
      <c r="AB11" s="45"/>
      <c r="AC11" s="45"/>
      <c r="AD11" s="45"/>
      <c r="AE11" s="46"/>
    </row>
    <row r="12" ht="15" customHeight="1" spans="1:31">
      <c r="A12" s="47"/>
      <c r="B12" s="48"/>
      <c r="C12" s="49" t="s">
        <v>36</v>
      </c>
      <c r="D12" s="15"/>
      <c r="E12" s="15"/>
      <c r="F12" s="16"/>
      <c r="G12" s="50"/>
      <c r="H12" s="51"/>
      <c r="I12" s="49" t="s">
        <v>37</v>
      </c>
      <c r="J12" s="52"/>
      <c r="K12" s="53"/>
      <c r="L12" s="54"/>
      <c r="M12" s="55"/>
      <c r="N12" s="54"/>
      <c r="O12" s="56"/>
      <c r="P12" s="29" t="s">
        <v>38</v>
      </c>
      <c r="Q12" s="57"/>
      <c r="R12" s="43"/>
      <c r="S12" s="58" t="s">
        <v>39</v>
      </c>
      <c r="T12" s="43"/>
      <c r="U12" s="29"/>
      <c r="V12" s="15"/>
      <c r="W12" s="16"/>
      <c r="X12" s="29"/>
      <c r="Y12" s="16"/>
      <c r="Z12" s="59"/>
      <c r="AA12" s="60"/>
      <c r="AB12" s="60"/>
      <c r="AC12" s="60"/>
      <c r="AD12" s="60"/>
      <c r="AE12" s="61"/>
    </row>
    <row r="13" ht="15" customHeight="1" spans="1:31">
      <c r="A13" s="47"/>
      <c r="B13" s="48"/>
      <c r="C13" s="49" t="s">
        <v>40</v>
      </c>
      <c r="D13" s="15"/>
      <c r="E13" s="15"/>
      <c r="F13" s="16"/>
      <c r="G13" s="62"/>
      <c r="H13" s="63"/>
      <c r="I13" s="49" t="s">
        <v>37</v>
      </c>
      <c r="J13" s="52"/>
      <c r="K13" s="53"/>
      <c r="L13" s="54"/>
      <c r="M13" s="55"/>
      <c r="N13" s="54"/>
      <c r="O13" s="56"/>
      <c r="P13" s="47"/>
      <c r="R13" s="48"/>
      <c r="S13" s="64" t="s">
        <v>41</v>
      </c>
      <c r="T13" s="48"/>
      <c r="U13" s="29"/>
      <c r="V13" s="15"/>
      <c r="W13" s="16"/>
      <c r="X13" s="29"/>
      <c r="Y13" s="16"/>
      <c r="Z13" s="59"/>
      <c r="AA13" s="60"/>
      <c r="AB13" s="60"/>
      <c r="AC13" s="60"/>
      <c r="AD13" s="65"/>
      <c r="AE13" s="61"/>
    </row>
    <row r="14" ht="15" customHeight="1" spans="1:31">
      <c r="A14" s="47"/>
      <c r="B14" s="48"/>
      <c r="C14" s="49" t="s">
        <v>42</v>
      </c>
      <c r="D14" s="15"/>
      <c r="E14" s="15"/>
      <c r="F14" s="16"/>
      <c r="G14" s="50"/>
      <c r="H14" s="51"/>
      <c r="I14" s="49" t="s">
        <v>37</v>
      </c>
      <c r="J14" s="52"/>
      <c r="K14" s="53"/>
      <c r="L14" s="54"/>
      <c r="M14" s="55"/>
      <c r="N14" s="54"/>
      <c r="O14" s="56"/>
      <c r="P14" s="66"/>
      <c r="Q14" s="13"/>
      <c r="R14" s="67"/>
      <c r="S14" s="68" t="s">
        <v>25</v>
      </c>
      <c r="T14" s="67"/>
      <c r="U14" s="69" t="e">
        <f>(U13-U12)/U12</f>
        <v>#DIV/0!</v>
      </c>
      <c r="V14" s="70"/>
      <c r="W14" s="71"/>
      <c r="X14" s="69" t="e">
        <f>(X13-X12)/X12</f>
        <v>#DIV/0!</v>
      </c>
      <c r="Y14" s="71"/>
      <c r="Z14" s="59"/>
      <c r="AA14" s="60"/>
      <c r="AB14" s="60"/>
      <c r="AC14" s="60"/>
      <c r="AD14" s="60"/>
      <c r="AE14" s="61"/>
    </row>
    <row r="15" ht="15" customHeight="1" spans="1:31">
      <c r="A15" s="47"/>
      <c r="B15" s="48"/>
      <c r="C15" s="49" t="s">
        <v>43</v>
      </c>
      <c r="D15" s="15"/>
      <c r="E15" s="15"/>
      <c r="F15" s="16"/>
      <c r="G15" s="72"/>
      <c r="H15" s="73"/>
      <c r="I15" s="49" t="s">
        <v>37</v>
      </c>
      <c r="J15" s="52"/>
      <c r="K15" s="53"/>
      <c r="L15" s="54"/>
      <c r="M15" s="55"/>
      <c r="N15" s="54"/>
      <c r="O15" s="31"/>
      <c r="P15" s="29" t="s">
        <v>44</v>
      </c>
      <c r="Q15" s="15"/>
      <c r="R15" s="16"/>
      <c r="S15" s="38"/>
      <c r="T15" s="16"/>
      <c r="U15" s="74"/>
      <c r="V15" s="15"/>
      <c r="W15" s="15"/>
      <c r="X15" s="15"/>
      <c r="Y15" s="16"/>
      <c r="Z15" s="59"/>
      <c r="AA15" s="60"/>
      <c r="AB15" s="60"/>
      <c r="AC15" s="60"/>
      <c r="AD15" s="60"/>
      <c r="AE15" s="61"/>
    </row>
    <row r="16" ht="17.4" customHeight="1" spans="1:31">
      <c r="A16" s="47"/>
      <c r="B16" s="48"/>
      <c r="C16" s="49" t="s">
        <v>45</v>
      </c>
      <c r="D16" s="15"/>
      <c r="E16" s="15"/>
      <c r="F16" s="16"/>
      <c r="G16" s="49"/>
      <c r="H16" s="75"/>
      <c r="I16" s="15"/>
      <c r="J16" s="15"/>
      <c r="K16" s="16"/>
      <c r="L16" s="76"/>
      <c r="M16" s="53"/>
      <c r="N16" s="54"/>
      <c r="O16" s="28"/>
      <c r="P16" s="29" t="s">
        <v>46</v>
      </c>
      <c r="Q16" s="15"/>
      <c r="R16" s="16"/>
      <c r="S16" s="38"/>
      <c r="T16" s="16"/>
      <c r="U16" s="74"/>
      <c r="V16" s="15"/>
      <c r="W16" s="15"/>
      <c r="X16" s="15"/>
      <c r="Y16" s="16"/>
      <c r="Z16" s="59"/>
      <c r="AA16" s="60"/>
      <c r="AB16" s="60"/>
      <c r="AC16" s="60"/>
      <c r="AD16" s="60"/>
      <c r="AE16" s="61"/>
    </row>
    <row r="17" ht="17.4" customHeight="1" spans="1:31">
      <c r="A17" s="47"/>
      <c r="B17" s="48"/>
      <c r="C17" s="49" t="s">
        <v>47</v>
      </c>
      <c r="D17" s="15"/>
      <c r="E17" s="15"/>
      <c r="F17" s="16"/>
      <c r="G17" s="49"/>
      <c r="H17" s="75"/>
      <c r="I17" s="15"/>
      <c r="J17" s="15"/>
      <c r="K17" s="16"/>
      <c r="L17" s="76"/>
      <c r="M17" s="53"/>
      <c r="N17" s="54"/>
      <c r="O17" s="28"/>
      <c r="P17" s="29" t="s">
        <v>48</v>
      </c>
      <c r="Q17" s="15"/>
      <c r="R17" s="16"/>
      <c r="S17" s="38"/>
      <c r="T17" s="16"/>
      <c r="U17" s="77">
        <v>0.25</v>
      </c>
      <c r="V17" s="15"/>
      <c r="W17" s="15"/>
      <c r="X17" s="15"/>
      <c r="Y17" s="16"/>
      <c r="Z17" s="59"/>
      <c r="AA17" s="60"/>
      <c r="AB17" s="60"/>
      <c r="AC17" s="60"/>
      <c r="AD17" s="60"/>
      <c r="AE17" s="61"/>
    </row>
    <row r="18" ht="17.4" customHeight="1" spans="1:31">
      <c r="A18" s="66"/>
      <c r="B18" s="67"/>
      <c r="C18" s="49" t="s">
        <v>49</v>
      </c>
      <c r="D18" s="15"/>
      <c r="E18" s="15"/>
      <c r="F18" s="16"/>
      <c r="G18" s="49"/>
      <c r="H18" s="75"/>
      <c r="I18" s="15"/>
      <c r="J18" s="15"/>
      <c r="K18" s="16"/>
      <c r="L18" s="76"/>
      <c r="M18" s="53"/>
      <c r="N18" s="54"/>
      <c r="O18" s="28"/>
      <c r="P18" s="29" t="s">
        <v>50</v>
      </c>
      <c r="Q18" s="15"/>
      <c r="R18" s="16"/>
      <c r="S18" s="38"/>
      <c r="T18" s="16"/>
      <c r="U18" s="29" t="s">
        <v>51</v>
      </c>
      <c r="V18" s="29">
        <v>12</v>
      </c>
      <c r="W18" s="16"/>
      <c r="X18" s="29" t="s">
        <v>52</v>
      </c>
      <c r="Y18" s="29">
        <v>0</v>
      </c>
      <c r="Z18" s="78"/>
      <c r="AA18" s="79"/>
      <c r="AB18" s="79"/>
      <c r="AC18" s="79"/>
      <c r="AD18" s="79"/>
      <c r="AE18" s="80"/>
    </row>
    <row r="19" ht="17.5" customHeight="1" spans="1:31">
      <c r="A19" s="27" t="s">
        <v>53</v>
      </c>
      <c r="B19" s="16"/>
      <c r="C19" s="28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6"/>
    </row>
    <row r="20" ht="30" customHeight="1" spans="1:31">
      <c r="A20" s="29"/>
      <c r="B20" s="43"/>
      <c r="C20" s="81" t="s">
        <v>54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  <c r="AB20" s="82"/>
      <c r="AC20" s="83"/>
      <c r="AD20" s="83"/>
      <c r="AE20" s="84"/>
    </row>
    <row r="21" ht="30" customHeight="1" spans="1:31">
      <c r="A21" s="47"/>
      <c r="B21" s="48"/>
      <c r="C21" s="41" t="s">
        <v>55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28" t="s">
        <v>15</v>
      </c>
      <c r="P21" s="84" t="s">
        <v>56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82"/>
      <c r="AC21" s="83"/>
      <c r="AD21" s="83"/>
      <c r="AE21" s="84"/>
    </row>
    <row r="22" ht="60" customHeight="1" spans="1:31">
      <c r="A22" s="47"/>
      <c r="B22" s="48"/>
      <c r="C22" s="85" t="s">
        <v>57</v>
      </c>
      <c r="D22" s="75"/>
      <c r="E22" s="16"/>
      <c r="F22" s="85" t="s">
        <v>58</v>
      </c>
      <c r="G22" s="75"/>
      <c r="H22" s="16"/>
      <c r="I22" s="85" t="s">
        <v>59</v>
      </c>
      <c r="J22" s="75"/>
      <c r="K22" s="16"/>
      <c r="L22" s="85" t="s">
        <v>60</v>
      </c>
      <c r="M22" s="75"/>
      <c r="N22" s="16"/>
      <c r="O22" s="56"/>
      <c r="P22" s="85" t="s">
        <v>57</v>
      </c>
      <c r="Q22" s="75"/>
      <c r="R22" s="16"/>
      <c r="S22" s="85" t="s">
        <v>58</v>
      </c>
      <c r="T22" s="75"/>
      <c r="U22" s="16"/>
      <c r="V22" s="85" t="s">
        <v>59</v>
      </c>
      <c r="W22" s="75"/>
      <c r="X22" s="16"/>
      <c r="Y22" s="85" t="s">
        <v>60</v>
      </c>
      <c r="Z22" s="75"/>
      <c r="AA22" s="16"/>
      <c r="AB22" s="86" t="s">
        <v>61</v>
      </c>
      <c r="AC22" s="87" t="s">
        <v>62</v>
      </c>
      <c r="AD22" s="88"/>
      <c r="AE22" s="54"/>
    </row>
    <row r="23" ht="25.05" customHeight="1" spans="1:31">
      <c r="A23" s="47"/>
      <c r="B23" s="48"/>
      <c r="C23" s="49" t="s">
        <v>63</v>
      </c>
      <c r="D23" s="89" t="s">
        <v>64</v>
      </c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56"/>
      <c r="P23" s="49" t="s">
        <v>63</v>
      </c>
      <c r="Q23" s="89" t="s">
        <v>65</v>
      </c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48"/>
      <c r="AC23" s="87" t="s">
        <v>66</v>
      </c>
      <c r="AD23" s="88"/>
      <c r="AE23" s="54"/>
    </row>
    <row r="24" ht="25.05" customHeight="1" spans="1:31">
      <c r="A24" s="47"/>
      <c r="B24" s="48"/>
      <c r="C24" s="49" t="s">
        <v>67</v>
      </c>
      <c r="D24" s="49" t="s">
        <v>68</v>
      </c>
      <c r="E24" s="49" t="s">
        <v>69</v>
      </c>
      <c r="F24" s="15"/>
      <c r="G24" s="16"/>
      <c r="H24" s="49" t="s">
        <v>70</v>
      </c>
      <c r="I24" s="16"/>
      <c r="J24" s="49" t="s">
        <v>71</v>
      </c>
      <c r="K24" s="49" t="s">
        <v>72</v>
      </c>
      <c r="L24" s="15"/>
      <c r="M24" s="15"/>
      <c r="N24" s="16"/>
      <c r="O24" s="56"/>
      <c r="P24" s="49" t="s">
        <v>67</v>
      </c>
      <c r="Q24" s="49" t="s">
        <v>68</v>
      </c>
      <c r="R24" s="49" t="s">
        <v>69</v>
      </c>
      <c r="S24" s="15"/>
      <c r="T24" s="16"/>
      <c r="U24" s="49" t="s">
        <v>70</v>
      </c>
      <c r="V24" s="16"/>
      <c r="W24" s="49" t="s">
        <v>71</v>
      </c>
      <c r="X24" s="49" t="s">
        <v>72</v>
      </c>
      <c r="Y24" s="15"/>
      <c r="Z24" s="15"/>
      <c r="AA24" s="16"/>
      <c r="AB24" s="90" t="s">
        <v>73</v>
      </c>
      <c r="AC24" s="91" t="e">
        <f>AC29/O59*24</f>
        <v>#DIV/0!</v>
      </c>
      <c r="AD24" s="53"/>
      <c r="AE24" s="54"/>
    </row>
    <row r="25" ht="48" customHeight="1" spans="1:31">
      <c r="A25" s="47"/>
      <c r="B25" s="48"/>
      <c r="C25" s="92" t="s">
        <v>74</v>
      </c>
      <c r="D25" s="93" t="s">
        <v>15</v>
      </c>
      <c r="E25" s="75" t="s">
        <v>51</v>
      </c>
      <c r="F25" s="15"/>
      <c r="G25" s="16"/>
      <c r="H25" s="75" t="s">
        <v>51</v>
      </c>
      <c r="I25" s="16"/>
      <c r="J25" s="75" t="s">
        <v>51</v>
      </c>
      <c r="K25" s="85" t="s">
        <v>75</v>
      </c>
      <c r="L25" s="89" t="s">
        <v>15</v>
      </c>
      <c r="M25" s="85" t="s">
        <v>76</v>
      </c>
      <c r="N25" s="89" t="s">
        <v>15</v>
      </c>
      <c r="O25" s="56"/>
      <c r="P25" s="92" t="s">
        <v>74</v>
      </c>
      <c r="Q25" s="93" t="s">
        <v>15</v>
      </c>
      <c r="R25" s="75" t="s">
        <v>51</v>
      </c>
      <c r="S25" s="15"/>
      <c r="T25" s="16"/>
      <c r="U25" s="75" t="s">
        <v>51</v>
      </c>
      <c r="V25" s="16"/>
      <c r="W25" s="75" t="s">
        <v>51</v>
      </c>
      <c r="X25" s="85" t="s">
        <v>75</v>
      </c>
      <c r="Y25" s="89" t="s">
        <v>15</v>
      </c>
      <c r="Z25" s="85" t="s">
        <v>76</v>
      </c>
      <c r="AA25" s="89" t="s">
        <v>15</v>
      </c>
      <c r="AB25" s="90" t="s">
        <v>77</v>
      </c>
      <c r="AC25" s="88"/>
      <c r="AD25" s="53"/>
      <c r="AE25" s="54"/>
    </row>
    <row r="26" ht="24" customHeight="1" spans="1:31">
      <c r="A26" s="47"/>
      <c r="B26" s="48"/>
      <c r="C26" s="85" t="s">
        <v>78</v>
      </c>
      <c r="D26" s="89" t="s">
        <v>15</v>
      </c>
      <c r="E26" s="49" t="s">
        <v>79</v>
      </c>
      <c r="F26" s="75" t="s">
        <v>80</v>
      </c>
      <c r="G26" s="75" t="s">
        <v>81</v>
      </c>
      <c r="H26" s="49" t="s">
        <v>79</v>
      </c>
      <c r="I26" s="75"/>
      <c r="J26" s="75"/>
      <c r="K26" s="85" t="s">
        <v>82</v>
      </c>
      <c r="L26" s="75" t="s">
        <v>15</v>
      </c>
      <c r="M26" s="85" t="s">
        <v>83</v>
      </c>
      <c r="N26" s="94">
        <f>I29</f>
        <v>0</v>
      </c>
      <c r="O26" s="56"/>
      <c r="P26" s="85" t="s">
        <v>78</v>
      </c>
      <c r="Q26" s="89" t="s">
        <v>15</v>
      </c>
      <c r="R26" s="49" t="s">
        <v>79</v>
      </c>
      <c r="S26" s="75" t="s">
        <v>80</v>
      </c>
      <c r="T26" s="75" t="s">
        <v>81</v>
      </c>
      <c r="U26" s="49" t="s">
        <v>79</v>
      </c>
      <c r="V26" s="75"/>
      <c r="W26" s="75"/>
      <c r="X26" s="85" t="s">
        <v>82</v>
      </c>
      <c r="Y26" s="95" t="s">
        <v>15</v>
      </c>
      <c r="Z26" s="85" t="s">
        <v>83</v>
      </c>
      <c r="AA26" s="94">
        <f>V29</f>
        <v>0</v>
      </c>
      <c r="AB26" s="90" t="s">
        <v>84</v>
      </c>
      <c r="AC26" s="88"/>
      <c r="AD26" s="96"/>
      <c r="AE26" s="97"/>
    </row>
    <row r="27" ht="24" customHeight="1" spans="1:31">
      <c r="A27" s="47"/>
      <c r="B27" s="48"/>
      <c r="C27" s="31"/>
      <c r="D27" s="31"/>
      <c r="E27" s="31"/>
      <c r="F27" s="75" t="s">
        <v>15</v>
      </c>
      <c r="G27" s="95" t="s">
        <v>15</v>
      </c>
      <c r="H27" s="31"/>
      <c r="I27" s="31"/>
      <c r="J27" s="31"/>
      <c r="K27" s="31"/>
      <c r="L27" s="31"/>
      <c r="M27" s="31"/>
      <c r="N27" s="31"/>
      <c r="O27" s="56"/>
      <c r="P27" s="31"/>
      <c r="Q27" s="31"/>
      <c r="R27" s="31"/>
      <c r="S27" s="75" t="s">
        <v>15</v>
      </c>
      <c r="T27" s="75" t="s">
        <v>15</v>
      </c>
      <c r="U27" s="31"/>
      <c r="V27" s="31"/>
      <c r="W27" s="31"/>
      <c r="X27" s="31"/>
      <c r="Y27" s="31"/>
      <c r="Z27" s="31"/>
      <c r="AA27" s="31"/>
      <c r="AB27" s="67"/>
      <c r="AC27" s="98"/>
      <c r="AD27" s="99"/>
      <c r="AE27" s="100"/>
    </row>
    <row r="28" ht="42" customHeight="1" spans="1:31">
      <c r="A28" s="47"/>
      <c r="B28" s="48"/>
      <c r="C28" s="85" t="s">
        <v>85</v>
      </c>
      <c r="D28" s="93" t="s">
        <v>15</v>
      </c>
      <c r="E28" s="85" t="s">
        <v>86</v>
      </c>
      <c r="F28" s="75">
        <v>18</v>
      </c>
      <c r="G28" s="16"/>
      <c r="H28" s="85" t="s">
        <v>87</v>
      </c>
      <c r="I28" s="101"/>
      <c r="J28" s="101"/>
      <c r="K28" s="85" t="s">
        <v>88</v>
      </c>
      <c r="L28" s="89" t="s">
        <v>15</v>
      </c>
      <c r="M28" s="85" t="s">
        <v>89</v>
      </c>
      <c r="N28" s="89" t="e">
        <f>N25-N26</f>
        <v>#VALUE!</v>
      </c>
      <c r="O28" s="56"/>
      <c r="P28" s="85" t="s">
        <v>85</v>
      </c>
      <c r="Q28" s="93" t="s">
        <v>15</v>
      </c>
      <c r="R28" s="85" t="s">
        <v>86</v>
      </c>
      <c r="S28" s="75">
        <v>18</v>
      </c>
      <c r="T28" s="16"/>
      <c r="U28" s="85" t="s">
        <v>87</v>
      </c>
      <c r="V28" s="101"/>
      <c r="W28" s="75"/>
      <c r="X28" s="85" t="s">
        <v>88</v>
      </c>
      <c r="Y28" s="102" t="s">
        <v>15</v>
      </c>
      <c r="Z28" s="85" t="s">
        <v>89</v>
      </c>
      <c r="AA28" s="89" t="e">
        <f>AA25-AA26</f>
        <v>#VALUE!</v>
      </c>
      <c r="AB28" s="90" t="s">
        <v>90</v>
      </c>
      <c r="AC28" s="88"/>
      <c r="AD28" s="53"/>
      <c r="AE28" s="54"/>
    </row>
    <row r="29" ht="42" customHeight="1" spans="1:31">
      <c r="A29" s="47"/>
      <c r="B29" s="48"/>
      <c r="C29" s="85" t="s">
        <v>91</v>
      </c>
      <c r="D29" s="93" t="s">
        <v>15</v>
      </c>
      <c r="E29" s="85" t="s">
        <v>92</v>
      </c>
      <c r="F29" s="95"/>
      <c r="G29" s="16"/>
      <c r="H29" s="85" t="s">
        <v>93</v>
      </c>
      <c r="I29" s="75"/>
      <c r="J29" s="75"/>
      <c r="K29" s="85" t="s">
        <v>94</v>
      </c>
      <c r="L29" s="89" t="s">
        <v>15</v>
      </c>
      <c r="M29" s="85" t="s">
        <v>95</v>
      </c>
      <c r="N29" s="89" t="s">
        <v>15</v>
      </c>
      <c r="O29" s="56"/>
      <c r="P29" s="85" t="s">
        <v>91</v>
      </c>
      <c r="Q29" s="93" t="s">
        <v>15</v>
      </c>
      <c r="R29" s="85" t="s">
        <v>92</v>
      </c>
      <c r="S29" s="95"/>
      <c r="T29" s="16"/>
      <c r="U29" s="85" t="s">
        <v>93</v>
      </c>
      <c r="V29" s="75"/>
      <c r="W29" s="75"/>
      <c r="X29" s="85" t="s">
        <v>94</v>
      </c>
      <c r="Y29" s="89" t="s">
        <v>15</v>
      </c>
      <c r="Z29" s="85" t="s">
        <v>95</v>
      </c>
      <c r="AA29" s="89" t="s">
        <v>15</v>
      </c>
      <c r="AB29" s="90" t="s">
        <v>96</v>
      </c>
      <c r="AC29" s="88"/>
      <c r="AD29" s="53"/>
      <c r="AE29" s="54"/>
    </row>
    <row r="30" ht="42" customHeight="1" spans="1:31">
      <c r="A30" s="47"/>
      <c r="B30" s="48"/>
      <c r="C30" s="85" t="s">
        <v>97</v>
      </c>
      <c r="D30" s="93" t="s">
        <v>15</v>
      </c>
      <c r="E30" s="85" t="s">
        <v>98</v>
      </c>
      <c r="F30" s="75"/>
      <c r="G30" s="16"/>
      <c r="H30" s="85" t="s">
        <v>99</v>
      </c>
      <c r="I30" s="75"/>
      <c r="J30" s="16"/>
      <c r="K30" s="85" t="s">
        <v>100</v>
      </c>
      <c r="L30" s="75" t="e">
        <f>L29-L25</f>
        <v>#VALUE!</v>
      </c>
      <c r="M30" s="85" t="s">
        <v>101</v>
      </c>
      <c r="N30" s="89" t="s">
        <v>15</v>
      </c>
      <c r="O30" s="56"/>
      <c r="P30" s="85" t="s">
        <v>97</v>
      </c>
      <c r="Q30" s="93" t="s">
        <v>15</v>
      </c>
      <c r="R30" s="85" t="s">
        <v>98</v>
      </c>
      <c r="S30" s="75"/>
      <c r="T30" s="16"/>
      <c r="U30" s="85" t="s">
        <v>99</v>
      </c>
      <c r="V30" s="75"/>
      <c r="W30" s="16"/>
      <c r="X30" s="85" t="s">
        <v>100</v>
      </c>
      <c r="Y30" s="75" t="e">
        <f>Y29-Y25</f>
        <v>#VALUE!</v>
      </c>
      <c r="Z30" s="85" t="s">
        <v>101</v>
      </c>
      <c r="AA30" s="89" t="s">
        <v>15</v>
      </c>
      <c r="AB30" s="103" t="s">
        <v>102</v>
      </c>
      <c r="AC30" s="57"/>
      <c r="AD30" s="57"/>
      <c r="AE30" s="43"/>
    </row>
    <row r="31" ht="42" customHeight="1" spans="1:31">
      <c r="A31" s="47"/>
      <c r="B31" s="48"/>
      <c r="C31" s="85" t="s">
        <v>103</v>
      </c>
      <c r="D31" s="93" t="s">
        <v>15</v>
      </c>
      <c r="E31" s="104"/>
      <c r="F31" s="85"/>
      <c r="G31" s="16"/>
      <c r="H31" s="85" t="s">
        <v>104</v>
      </c>
      <c r="I31" s="75"/>
      <c r="J31" s="16"/>
      <c r="K31" s="85"/>
      <c r="L31" s="85"/>
      <c r="M31" s="85" t="s">
        <v>105</v>
      </c>
      <c r="N31" s="75" t="e">
        <f>N29-N30</f>
        <v>#VALUE!</v>
      </c>
      <c r="O31" s="56"/>
      <c r="P31" s="85" t="s">
        <v>103</v>
      </c>
      <c r="Q31" s="93" t="s">
        <v>15</v>
      </c>
      <c r="R31" s="104"/>
      <c r="S31" s="85"/>
      <c r="T31" s="16"/>
      <c r="U31" s="85" t="s">
        <v>104</v>
      </c>
      <c r="V31" s="75"/>
      <c r="W31" s="16"/>
      <c r="X31" s="85"/>
      <c r="Y31" s="85"/>
      <c r="Z31" s="85" t="s">
        <v>105</v>
      </c>
      <c r="AA31" s="75" t="e">
        <f>AA29-AA30</f>
        <v>#VALUE!</v>
      </c>
      <c r="AE31" s="48"/>
    </row>
    <row r="32" ht="16.95" customHeight="1" spans="1:31">
      <c r="A32" s="47"/>
      <c r="B32" s="48"/>
      <c r="C32" s="28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/>
      <c r="O32" s="56"/>
      <c r="P32" s="84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13"/>
      <c r="AC32" s="13"/>
      <c r="AD32" s="13"/>
      <c r="AE32" s="67"/>
    </row>
    <row r="33" ht="25.05" customHeight="1" spans="1:31">
      <c r="A33" s="47"/>
      <c r="B33" s="48"/>
      <c r="C33" s="29" t="s">
        <v>63</v>
      </c>
      <c r="D33" s="93" t="s">
        <v>106</v>
      </c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56"/>
      <c r="P33" s="38" t="s">
        <v>63</v>
      </c>
      <c r="Q33" s="93" t="s">
        <v>106</v>
      </c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90" t="s">
        <v>97</v>
      </c>
      <c r="AC33" s="16"/>
      <c r="AD33" s="105" t="s">
        <v>107</v>
      </c>
      <c r="AE33" s="16"/>
    </row>
    <row r="34" ht="25.05" customHeight="1" spans="1:31">
      <c r="A34" s="47"/>
      <c r="B34" s="48"/>
      <c r="C34" s="29" t="s">
        <v>67</v>
      </c>
      <c r="D34" s="29" t="s">
        <v>68</v>
      </c>
      <c r="E34" s="29" t="s">
        <v>69</v>
      </c>
      <c r="F34" s="15"/>
      <c r="G34" s="16"/>
      <c r="H34" s="29" t="s">
        <v>70</v>
      </c>
      <c r="I34" s="16"/>
      <c r="J34" s="29" t="s">
        <v>71</v>
      </c>
      <c r="K34" s="29" t="s">
        <v>72</v>
      </c>
      <c r="L34" s="15"/>
      <c r="M34" s="15"/>
      <c r="N34" s="16"/>
      <c r="O34" s="56"/>
      <c r="P34" s="38" t="s">
        <v>67</v>
      </c>
      <c r="Q34" s="29" t="s">
        <v>68</v>
      </c>
      <c r="R34" s="29" t="s">
        <v>69</v>
      </c>
      <c r="S34" s="15"/>
      <c r="T34" s="16"/>
      <c r="U34" s="29" t="s">
        <v>70</v>
      </c>
      <c r="V34" s="16"/>
      <c r="W34" s="29" t="s">
        <v>71</v>
      </c>
      <c r="X34" s="29" t="s">
        <v>72</v>
      </c>
      <c r="Y34" s="15"/>
      <c r="Z34" s="15"/>
      <c r="AA34" s="16"/>
      <c r="AB34" s="90" t="s">
        <v>103</v>
      </c>
      <c r="AC34" s="16"/>
      <c r="AD34" s="105" t="s">
        <v>107</v>
      </c>
      <c r="AE34" s="16"/>
    </row>
    <row r="35" ht="42" customHeight="1" spans="1:31">
      <c r="A35" s="47"/>
      <c r="B35" s="48"/>
      <c r="C35" s="106" t="s">
        <v>74</v>
      </c>
      <c r="D35" s="93" t="s">
        <v>15</v>
      </c>
      <c r="E35" s="107" t="s">
        <v>51</v>
      </c>
      <c r="F35" s="15"/>
      <c r="G35" s="16"/>
      <c r="H35" s="107" t="s">
        <v>51</v>
      </c>
      <c r="I35" s="16"/>
      <c r="J35" s="107" t="s">
        <v>51</v>
      </c>
      <c r="K35" s="105" t="s">
        <v>75</v>
      </c>
      <c r="L35" s="107" t="s">
        <v>15</v>
      </c>
      <c r="M35" s="105" t="s">
        <v>76</v>
      </c>
      <c r="N35" s="108" t="s">
        <v>15</v>
      </c>
      <c r="O35" s="56"/>
      <c r="P35" s="106" t="s">
        <v>74</v>
      </c>
      <c r="Q35" s="93" t="s">
        <v>15</v>
      </c>
      <c r="R35" s="107" t="s">
        <v>51</v>
      </c>
      <c r="S35" s="15"/>
      <c r="T35" s="16"/>
      <c r="U35" s="107" t="s">
        <v>51</v>
      </c>
      <c r="V35" s="16"/>
      <c r="W35" s="107" t="s">
        <v>51</v>
      </c>
      <c r="X35" s="105" t="s">
        <v>75</v>
      </c>
      <c r="Y35" s="107" t="s">
        <v>15</v>
      </c>
      <c r="Z35" s="105" t="s">
        <v>76</v>
      </c>
      <c r="AA35" s="107" t="s">
        <v>15</v>
      </c>
      <c r="AB35" s="90" t="s">
        <v>108</v>
      </c>
      <c r="AC35" s="16"/>
      <c r="AD35" s="109" t="s">
        <v>109</v>
      </c>
      <c r="AE35" s="16"/>
    </row>
    <row r="36" ht="24" customHeight="1" spans="1:31">
      <c r="A36" s="47"/>
      <c r="B36" s="48"/>
      <c r="C36" s="105" t="s">
        <v>78</v>
      </c>
      <c r="D36" s="110" t="s">
        <v>15</v>
      </c>
      <c r="E36" s="29" t="s">
        <v>79</v>
      </c>
      <c r="F36" s="107" t="s">
        <v>80</v>
      </c>
      <c r="G36" s="107" t="s">
        <v>81</v>
      </c>
      <c r="H36" s="29" t="s">
        <v>79</v>
      </c>
      <c r="I36" s="107" t="s">
        <v>15</v>
      </c>
      <c r="J36" s="107" t="s">
        <v>15</v>
      </c>
      <c r="K36" s="105" t="s">
        <v>82</v>
      </c>
      <c r="L36" s="107" t="s">
        <v>15</v>
      </c>
      <c r="M36" s="105" t="s">
        <v>83</v>
      </c>
      <c r="N36" s="108">
        <f>I39</f>
        <v>0</v>
      </c>
      <c r="O36" s="56"/>
      <c r="P36" s="105" t="s">
        <v>78</v>
      </c>
      <c r="Q36" s="110" t="s">
        <v>15</v>
      </c>
      <c r="R36" s="29" t="s">
        <v>79</v>
      </c>
      <c r="S36" s="107" t="s">
        <v>80</v>
      </c>
      <c r="T36" s="107" t="s">
        <v>81</v>
      </c>
      <c r="U36" s="29" t="s">
        <v>79</v>
      </c>
      <c r="V36" s="107" t="s">
        <v>15</v>
      </c>
      <c r="W36" s="107" t="s">
        <v>15</v>
      </c>
      <c r="X36" s="105" t="s">
        <v>82</v>
      </c>
      <c r="Y36" s="107" t="s">
        <v>15</v>
      </c>
      <c r="Z36" s="105" t="s">
        <v>83</v>
      </c>
      <c r="AA36" s="107">
        <f>V39</f>
        <v>0</v>
      </c>
      <c r="AB36" s="90" t="s">
        <v>104</v>
      </c>
      <c r="AC36" s="43"/>
      <c r="AD36" s="105" t="s">
        <v>110</v>
      </c>
      <c r="AE36" s="43"/>
    </row>
    <row r="37" ht="24" customHeight="1" spans="1:31">
      <c r="A37" s="47"/>
      <c r="B37" s="48"/>
      <c r="C37" s="31"/>
      <c r="D37" s="31"/>
      <c r="E37" s="31"/>
      <c r="F37" s="107" t="s">
        <v>15</v>
      </c>
      <c r="G37" s="107" t="s">
        <v>15</v>
      </c>
      <c r="H37" s="31"/>
      <c r="I37" s="31"/>
      <c r="J37" s="31"/>
      <c r="K37" s="31"/>
      <c r="L37" s="31"/>
      <c r="M37" s="31"/>
      <c r="N37" s="66"/>
      <c r="O37" s="56"/>
      <c r="P37" s="31"/>
      <c r="Q37" s="31"/>
      <c r="R37" s="31"/>
      <c r="S37" s="107" t="s">
        <v>15</v>
      </c>
      <c r="T37" s="107" t="s">
        <v>15</v>
      </c>
      <c r="U37" s="31"/>
      <c r="V37" s="31"/>
      <c r="W37" s="31"/>
      <c r="X37" s="31"/>
      <c r="Y37" s="31"/>
      <c r="Z37" s="31"/>
      <c r="AA37" s="31"/>
      <c r="AB37" s="13"/>
      <c r="AC37" s="67"/>
      <c r="AD37" s="66"/>
      <c r="AE37" s="67"/>
    </row>
    <row r="38" ht="42" customHeight="1" spans="1:31">
      <c r="A38" s="47"/>
      <c r="B38" s="48"/>
      <c r="C38" s="105" t="s">
        <v>85</v>
      </c>
      <c r="D38" s="93" t="s">
        <v>15</v>
      </c>
      <c r="E38" s="105" t="s">
        <v>86</v>
      </c>
      <c r="F38" s="107">
        <v>18</v>
      </c>
      <c r="G38" s="16"/>
      <c r="H38" s="105" t="s">
        <v>87</v>
      </c>
      <c r="I38" s="107" t="s">
        <v>15</v>
      </c>
      <c r="J38" s="107" t="s">
        <v>15</v>
      </c>
      <c r="K38" s="105" t="s">
        <v>88</v>
      </c>
      <c r="L38" s="107" t="s">
        <v>15</v>
      </c>
      <c r="M38" s="105" t="s">
        <v>89</v>
      </c>
      <c r="N38" s="108" t="e">
        <f>N35-N36</f>
        <v>#VALUE!</v>
      </c>
      <c r="O38" s="56"/>
      <c r="P38" s="105" t="s">
        <v>85</v>
      </c>
      <c r="Q38" s="93" t="s">
        <v>15</v>
      </c>
      <c r="R38" s="105" t="s">
        <v>86</v>
      </c>
      <c r="S38" s="107">
        <v>18</v>
      </c>
      <c r="T38" s="16"/>
      <c r="U38" s="105" t="s">
        <v>87</v>
      </c>
      <c r="V38" s="107" t="s">
        <v>15</v>
      </c>
      <c r="W38" s="107" t="s">
        <v>15</v>
      </c>
      <c r="X38" s="105" t="s">
        <v>88</v>
      </c>
      <c r="Y38" s="107" t="s">
        <v>15</v>
      </c>
      <c r="Z38" s="105" t="s">
        <v>89</v>
      </c>
      <c r="AA38" s="107" t="e">
        <f>AA35-AA36</f>
        <v>#VALUE!</v>
      </c>
      <c r="AB38" s="90" t="s">
        <v>111</v>
      </c>
      <c r="AC38" s="16"/>
      <c r="AD38" s="105" t="s">
        <v>112</v>
      </c>
      <c r="AE38" s="16"/>
    </row>
    <row r="39" ht="42" customHeight="1" spans="1:31">
      <c r="A39" s="47"/>
      <c r="B39" s="48"/>
      <c r="C39" s="105" t="s">
        <v>91</v>
      </c>
      <c r="D39" s="93" t="s">
        <v>15</v>
      </c>
      <c r="E39" s="105" t="s">
        <v>92</v>
      </c>
      <c r="F39" s="107" t="s">
        <v>15</v>
      </c>
      <c r="G39" s="16"/>
      <c r="H39" s="105" t="s">
        <v>93</v>
      </c>
      <c r="I39" s="107"/>
      <c r="J39" s="107" t="s">
        <v>15</v>
      </c>
      <c r="K39" s="105" t="s">
        <v>94</v>
      </c>
      <c r="L39" s="107" t="s">
        <v>15</v>
      </c>
      <c r="M39" s="105" t="s">
        <v>95</v>
      </c>
      <c r="N39" s="108" t="s">
        <v>15</v>
      </c>
      <c r="O39" s="56"/>
      <c r="P39" s="105" t="s">
        <v>91</v>
      </c>
      <c r="Q39" s="93" t="s">
        <v>15</v>
      </c>
      <c r="R39" s="105" t="s">
        <v>92</v>
      </c>
      <c r="S39" s="107" t="s">
        <v>15</v>
      </c>
      <c r="T39" s="16"/>
      <c r="U39" s="105" t="s">
        <v>93</v>
      </c>
      <c r="V39" s="107"/>
      <c r="W39" s="107" t="s">
        <v>15</v>
      </c>
      <c r="X39" s="105" t="s">
        <v>94</v>
      </c>
      <c r="Y39" s="107" t="s">
        <v>15</v>
      </c>
      <c r="Z39" s="105" t="s">
        <v>95</v>
      </c>
      <c r="AA39" s="107" t="s">
        <v>15</v>
      </c>
      <c r="AB39" s="90" t="s">
        <v>113</v>
      </c>
      <c r="AC39" s="16"/>
      <c r="AD39" s="105" t="s">
        <v>114</v>
      </c>
      <c r="AE39" s="16"/>
    </row>
    <row r="40" ht="42" customHeight="1" spans="1:31">
      <c r="A40" s="47"/>
      <c r="B40" s="48"/>
      <c r="C40" s="105" t="s">
        <v>97</v>
      </c>
      <c r="D40" s="93" t="s">
        <v>15</v>
      </c>
      <c r="E40" s="105" t="s">
        <v>98</v>
      </c>
      <c r="F40" s="107" t="s">
        <v>15</v>
      </c>
      <c r="G40" s="16"/>
      <c r="H40" s="105" t="s">
        <v>99</v>
      </c>
      <c r="I40" s="107" t="s">
        <v>15</v>
      </c>
      <c r="J40" s="16"/>
      <c r="K40" s="105" t="s">
        <v>100</v>
      </c>
      <c r="L40" s="107" t="e">
        <f>L39-L35</f>
        <v>#VALUE!</v>
      </c>
      <c r="M40" s="105" t="s">
        <v>101</v>
      </c>
      <c r="N40" s="108" t="s">
        <v>15</v>
      </c>
      <c r="O40" s="56"/>
      <c r="P40" s="105" t="s">
        <v>97</v>
      </c>
      <c r="Q40" s="93" t="s">
        <v>15</v>
      </c>
      <c r="R40" s="105" t="s">
        <v>98</v>
      </c>
      <c r="S40" s="107" t="s">
        <v>15</v>
      </c>
      <c r="T40" s="16"/>
      <c r="U40" s="105" t="s">
        <v>99</v>
      </c>
      <c r="V40" s="107" t="s">
        <v>15</v>
      </c>
      <c r="W40" s="16"/>
      <c r="X40" s="105" t="s">
        <v>100</v>
      </c>
      <c r="Y40" s="107" t="e">
        <f>Y39-Y35</f>
        <v>#VALUE!</v>
      </c>
      <c r="Z40" s="105" t="s">
        <v>101</v>
      </c>
      <c r="AA40" s="107" t="s">
        <v>15</v>
      </c>
      <c r="AB40" s="90" t="s">
        <v>115</v>
      </c>
      <c r="AC40" s="16"/>
      <c r="AD40" s="105" t="s">
        <v>116</v>
      </c>
      <c r="AE40" s="16"/>
    </row>
    <row r="41" ht="42" customHeight="1" spans="1:31">
      <c r="A41" s="47"/>
      <c r="B41" s="48"/>
      <c r="C41" s="105" t="s">
        <v>103</v>
      </c>
      <c r="D41" s="93" t="s">
        <v>15</v>
      </c>
      <c r="E41" s="105"/>
      <c r="F41" s="105"/>
      <c r="G41" s="105"/>
      <c r="H41" s="105" t="s">
        <v>104</v>
      </c>
      <c r="I41" s="107" t="s">
        <v>15</v>
      </c>
      <c r="J41" s="16"/>
      <c r="K41" s="105"/>
      <c r="L41" s="105"/>
      <c r="M41" s="105" t="s">
        <v>105</v>
      </c>
      <c r="N41" s="108" t="e">
        <f>N39-N40</f>
        <v>#VALUE!</v>
      </c>
      <c r="O41" s="56"/>
      <c r="P41" s="105" t="s">
        <v>103</v>
      </c>
      <c r="Q41" s="93" t="s">
        <v>15</v>
      </c>
      <c r="R41" s="105"/>
      <c r="S41" s="105"/>
      <c r="T41" s="105"/>
      <c r="U41" s="105" t="s">
        <v>104</v>
      </c>
      <c r="V41" s="107" t="s">
        <v>15</v>
      </c>
      <c r="W41" s="16"/>
      <c r="X41" s="105"/>
      <c r="Y41" s="105"/>
      <c r="Z41" s="105" t="s">
        <v>105</v>
      </c>
      <c r="AA41" s="107" t="e">
        <f>AA39-AA40</f>
        <v>#VALUE!</v>
      </c>
      <c r="AB41" s="82"/>
      <c r="AC41" s="83"/>
      <c r="AD41" s="83"/>
      <c r="AE41" s="84"/>
    </row>
    <row r="42" ht="42" customHeight="1" spans="1:31">
      <c r="A42" s="47"/>
      <c r="B42" s="48"/>
      <c r="C42" s="29" t="s">
        <v>117</v>
      </c>
      <c r="D42" s="93" t="s">
        <v>118</v>
      </c>
      <c r="E42" s="15"/>
      <c r="F42" s="15"/>
      <c r="G42" s="15"/>
      <c r="H42" s="15"/>
      <c r="I42" s="15"/>
      <c r="J42" s="15"/>
      <c r="K42" s="15"/>
      <c r="L42" s="15"/>
      <c r="M42" s="15"/>
      <c r="N42" s="16"/>
      <c r="O42" s="31"/>
      <c r="P42" s="29" t="s">
        <v>117</v>
      </c>
      <c r="Q42" s="93" t="s">
        <v>118</v>
      </c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82"/>
      <c r="AC42" s="83"/>
      <c r="AD42" s="83"/>
      <c r="AE42" s="84"/>
    </row>
    <row r="43" ht="30" customHeight="1" spans="1:31">
      <c r="A43" s="47"/>
      <c r="B43" s="48"/>
      <c r="C43" s="81" t="s">
        <v>119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6"/>
      <c r="AB43" s="82"/>
      <c r="AC43" s="83"/>
      <c r="AD43" s="83"/>
      <c r="AE43" s="84"/>
    </row>
    <row r="44" ht="30" customHeight="1" spans="1:31">
      <c r="A44" s="47"/>
      <c r="B44" s="48"/>
      <c r="C44" s="28" t="s">
        <v>55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6"/>
      <c r="O44" s="28"/>
      <c r="P44" s="28" t="s">
        <v>56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6"/>
      <c r="AB44" s="82"/>
      <c r="AC44" s="83"/>
      <c r="AD44" s="83"/>
      <c r="AE44" s="84"/>
    </row>
    <row r="45" ht="42" customHeight="1" spans="1:31">
      <c r="A45" s="47"/>
      <c r="B45" s="48"/>
      <c r="C45" s="105" t="s">
        <v>120</v>
      </c>
      <c r="D45" s="16"/>
      <c r="E45" s="107" t="s">
        <v>121</v>
      </c>
      <c r="F45" s="105" t="s">
        <v>122</v>
      </c>
      <c r="G45" s="107">
        <v>0.09</v>
      </c>
      <c r="H45" s="16"/>
      <c r="I45" s="105" t="s">
        <v>123</v>
      </c>
      <c r="J45" s="107">
        <v>0.089</v>
      </c>
      <c r="K45" s="16"/>
      <c r="L45" s="105" t="s">
        <v>124</v>
      </c>
      <c r="M45" s="107">
        <v>0.09</v>
      </c>
      <c r="N45" s="16"/>
      <c r="O45" s="56"/>
      <c r="P45" s="105" t="s">
        <v>120</v>
      </c>
      <c r="Q45" s="16"/>
      <c r="R45" s="107" t="s">
        <v>121</v>
      </c>
      <c r="S45" s="105" t="s">
        <v>125</v>
      </c>
      <c r="T45" s="107">
        <v>0.09</v>
      </c>
      <c r="U45" s="16"/>
      <c r="V45" s="105" t="s">
        <v>123</v>
      </c>
      <c r="W45" s="107">
        <v>0.089</v>
      </c>
      <c r="X45" s="16"/>
      <c r="Y45" s="105" t="s">
        <v>124</v>
      </c>
      <c r="Z45" s="107">
        <v>0.093</v>
      </c>
      <c r="AA45" s="16"/>
      <c r="AB45" s="82"/>
      <c r="AC45" s="83"/>
      <c r="AD45" s="83"/>
      <c r="AE45" s="84"/>
    </row>
    <row r="46" ht="42" customHeight="1" spans="1:31">
      <c r="A46" s="47"/>
      <c r="B46" s="48"/>
      <c r="C46" s="105" t="s">
        <v>126</v>
      </c>
      <c r="D46" s="16"/>
      <c r="E46" s="107" t="s">
        <v>127</v>
      </c>
      <c r="F46" s="105" t="s">
        <v>122</v>
      </c>
      <c r="G46" s="107">
        <v>0.09</v>
      </c>
      <c r="H46" s="16"/>
      <c r="I46" s="105" t="s">
        <v>123</v>
      </c>
      <c r="J46" s="107">
        <v>0.089</v>
      </c>
      <c r="K46" s="16"/>
      <c r="L46" s="105" t="s">
        <v>124</v>
      </c>
      <c r="M46" s="107">
        <v>0.09</v>
      </c>
      <c r="N46" s="16"/>
      <c r="O46" s="56"/>
      <c r="P46" s="105" t="s">
        <v>126</v>
      </c>
      <c r="Q46" s="16"/>
      <c r="R46" s="107" t="s">
        <v>127</v>
      </c>
      <c r="S46" s="105" t="s">
        <v>125</v>
      </c>
      <c r="T46" s="107">
        <v>0.09</v>
      </c>
      <c r="U46" s="16"/>
      <c r="V46" s="105" t="s">
        <v>123</v>
      </c>
      <c r="W46" s="107">
        <v>0.09</v>
      </c>
      <c r="X46" s="16"/>
      <c r="Y46" s="105" t="s">
        <v>124</v>
      </c>
      <c r="Z46" s="107">
        <v>0.093</v>
      </c>
      <c r="AA46" s="16"/>
      <c r="AB46" s="82"/>
      <c r="AC46" s="83"/>
      <c r="AD46" s="83"/>
      <c r="AE46" s="84"/>
    </row>
    <row r="47" ht="25.05" customHeight="1" spans="1:31">
      <c r="A47" s="47"/>
      <c r="B47" s="48"/>
      <c r="C47" s="93" t="s">
        <v>128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56"/>
      <c r="P47" s="93" t="s">
        <v>129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6"/>
      <c r="AB47" s="82"/>
      <c r="AC47" s="83"/>
      <c r="AD47" s="83"/>
      <c r="AE47" s="84"/>
    </row>
    <row r="48" ht="42" customHeight="1" spans="1:31">
      <c r="A48" s="47"/>
      <c r="B48" s="48"/>
      <c r="C48" s="105" t="s">
        <v>130</v>
      </c>
      <c r="D48" s="107">
        <v>30.1</v>
      </c>
      <c r="E48" s="105" t="s">
        <v>131</v>
      </c>
      <c r="F48" s="16"/>
      <c r="G48" s="107">
        <v>0.28</v>
      </c>
      <c r="H48" s="16"/>
      <c r="I48" s="105" t="s">
        <v>132</v>
      </c>
      <c r="J48" s="16"/>
      <c r="K48" s="107">
        <v>0.38</v>
      </c>
      <c r="L48" s="16"/>
      <c r="M48" s="105" t="s">
        <v>133</v>
      </c>
      <c r="N48" s="107">
        <f>K48-G48</f>
        <v>0.1</v>
      </c>
      <c r="O48" s="56"/>
      <c r="P48" s="105" t="s">
        <v>130</v>
      </c>
      <c r="Q48" s="107">
        <v>30</v>
      </c>
      <c r="R48" s="105" t="s">
        <v>131</v>
      </c>
      <c r="S48" s="16"/>
      <c r="T48" s="107">
        <v>0.26</v>
      </c>
      <c r="U48" s="16"/>
      <c r="V48" s="105" t="s">
        <v>132</v>
      </c>
      <c r="W48" s="16"/>
      <c r="X48" s="107">
        <v>0.36</v>
      </c>
      <c r="Y48" s="16"/>
      <c r="Z48" s="105" t="s">
        <v>133</v>
      </c>
      <c r="AA48" s="105">
        <f>X48-T48</f>
        <v>0.1</v>
      </c>
      <c r="AB48" s="82"/>
      <c r="AC48" s="83"/>
      <c r="AD48" s="83"/>
      <c r="AE48" s="84"/>
    </row>
    <row r="49" ht="25.05" customHeight="1" spans="1:31">
      <c r="A49" s="47"/>
      <c r="B49" s="48"/>
      <c r="C49" s="93" t="s">
        <v>134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/>
      <c r="O49" s="56"/>
      <c r="P49" s="93" t="s">
        <v>134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6"/>
      <c r="AB49" s="82"/>
      <c r="AC49" s="83"/>
      <c r="AD49" s="83"/>
      <c r="AE49" s="84"/>
    </row>
    <row r="50" ht="42" customHeight="1" spans="1:31">
      <c r="A50" s="47"/>
      <c r="B50" s="48"/>
      <c r="C50" s="105" t="s">
        <v>130</v>
      </c>
      <c r="D50" s="107" t="s">
        <v>15</v>
      </c>
      <c r="E50" s="105" t="s">
        <v>131</v>
      </c>
      <c r="F50" s="16"/>
      <c r="G50" s="107">
        <v>0</v>
      </c>
      <c r="H50" s="16"/>
      <c r="I50" s="105" t="s">
        <v>132</v>
      </c>
      <c r="J50" s="16"/>
      <c r="K50" s="107">
        <v>0</v>
      </c>
      <c r="L50" s="16"/>
      <c r="M50" s="105" t="s">
        <v>133</v>
      </c>
      <c r="N50" s="107">
        <f>K50-G50</f>
        <v>0</v>
      </c>
      <c r="O50" s="56"/>
      <c r="P50" s="105" t="s">
        <v>130</v>
      </c>
      <c r="Q50" s="107" t="s">
        <v>15</v>
      </c>
      <c r="R50" s="105" t="s">
        <v>131</v>
      </c>
      <c r="S50" s="16"/>
      <c r="T50" s="107">
        <v>0</v>
      </c>
      <c r="U50" s="16"/>
      <c r="V50" s="105" t="s">
        <v>132</v>
      </c>
      <c r="W50" s="16"/>
      <c r="X50" s="107">
        <v>0</v>
      </c>
      <c r="Y50" s="16"/>
      <c r="Z50" s="105" t="s">
        <v>133</v>
      </c>
      <c r="AA50" s="105">
        <f>X50-T50</f>
        <v>0</v>
      </c>
      <c r="AB50" s="82"/>
      <c r="AC50" s="83"/>
      <c r="AD50" s="83"/>
      <c r="AE50" s="84"/>
    </row>
    <row r="51" ht="42" customHeight="1" spans="1:31">
      <c r="A51" s="66"/>
      <c r="B51" s="67"/>
      <c r="C51" s="105" t="s">
        <v>135</v>
      </c>
      <c r="D51" s="93" t="s">
        <v>118</v>
      </c>
      <c r="E51" s="15"/>
      <c r="F51" s="15"/>
      <c r="G51" s="15"/>
      <c r="H51" s="15"/>
      <c r="I51" s="15"/>
      <c r="J51" s="15"/>
      <c r="K51" s="15"/>
      <c r="L51" s="15"/>
      <c r="M51" s="15"/>
      <c r="N51" s="16"/>
      <c r="O51" s="31"/>
      <c r="P51" s="105" t="s">
        <v>135</v>
      </c>
      <c r="Q51" s="93" t="s">
        <v>118</v>
      </c>
      <c r="R51" s="15"/>
      <c r="S51" s="15"/>
      <c r="T51" s="15"/>
      <c r="U51" s="15"/>
      <c r="V51" s="15"/>
      <c r="W51" s="15"/>
      <c r="X51" s="15"/>
      <c r="Y51" s="15"/>
      <c r="Z51" s="15"/>
      <c r="AA51" s="16"/>
      <c r="AB51" s="82"/>
      <c r="AC51" s="83"/>
      <c r="AD51" s="83"/>
      <c r="AE51" s="84"/>
    </row>
    <row r="52" spans="1:31">
      <c r="A52" s="27" t="s">
        <v>136</v>
      </c>
      <c r="B52" s="16"/>
      <c r="C52" s="111" t="s">
        <v>15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6"/>
    </row>
    <row r="53" spans="1:31">
      <c r="A53" s="27" t="s">
        <v>137</v>
      </c>
      <c r="B53" s="16"/>
      <c r="C53" s="111" t="s">
        <v>15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6"/>
    </row>
    <row r="54" spans="1:31">
      <c r="A54" s="27" t="s">
        <v>138</v>
      </c>
      <c r="B54" s="16"/>
      <c r="C54" s="111" t="s">
        <v>15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6"/>
    </row>
    <row r="55" spans="1:31">
      <c r="A55" s="27" t="s">
        <v>139</v>
      </c>
      <c r="B55" s="16"/>
      <c r="C55" s="111" t="s">
        <v>15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6"/>
    </row>
    <row r="56" spans="1:31">
      <c r="A56" s="112" t="s">
        <v>140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6"/>
    </row>
    <row r="57" ht="28" customHeight="1" spans="1:31">
      <c r="A57" s="113" t="s">
        <v>141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65"/>
      <c r="N57" s="65"/>
      <c r="O57" s="1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6"/>
      <c r="AA57" s="65"/>
      <c r="AB57" s="116" t="s">
        <v>142</v>
      </c>
      <c r="AC57" s="116" t="s">
        <v>143</v>
      </c>
      <c r="AD57" s="117" t="s">
        <v>144</v>
      </c>
      <c r="AE57" s="16"/>
    </row>
    <row r="58" spans="1:31">
      <c r="A58" s="118" t="s">
        <v>145</v>
      </c>
      <c r="B58" s="73"/>
      <c r="C58" s="119" t="s">
        <v>146</v>
      </c>
      <c r="D58" s="73"/>
      <c r="E58" s="119" t="s">
        <v>147</v>
      </c>
      <c r="F58" s="73"/>
      <c r="G58" s="120" t="s">
        <v>148</v>
      </c>
      <c r="H58" s="73"/>
      <c r="I58" s="119" t="s">
        <v>149</v>
      </c>
      <c r="J58" s="73"/>
      <c r="K58" s="119" t="s">
        <v>150</v>
      </c>
      <c r="L58" s="73"/>
      <c r="M58" s="121"/>
      <c r="N58" s="121"/>
      <c r="O58" s="122" t="s">
        <v>151</v>
      </c>
      <c r="P58" s="15"/>
      <c r="Q58" s="16"/>
      <c r="R58" s="105" t="s">
        <v>77</v>
      </c>
      <c r="S58" s="15"/>
      <c r="T58" s="15"/>
      <c r="U58" s="16"/>
      <c r="V58" s="105" t="s">
        <v>152</v>
      </c>
      <c r="W58" s="15"/>
      <c r="X58" s="16"/>
      <c r="Y58" s="105" t="s">
        <v>153</v>
      </c>
      <c r="Z58" s="16"/>
      <c r="AA58" s="65"/>
      <c r="AB58" s="123">
        <v>1272</v>
      </c>
      <c r="AC58" s="123">
        <v>2</v>
      </c>
      <c r="AD58" s="69">
        <f>AC58/AB58</f>
        <v>0.00157232704402516</v>
      </c>
      <c r="AE58" s="43"/>
    </row>
    <row r="59" spans="1:31">
      <c r="A59" s="118" t="s">
        <v>154</v>
      </c>
      <c r="B59" s="73"/>
      <c r="C59" s="119"/>
      <c r="D59" s="73"/>
      <c r="E59" s="119"/>
      <c r="F59" s="73"/>
      <c r="G59" s="119"/>
      <c r="H59" s="73"/>
      <c r="I59" s="119"/>
      <c r="J59" s="73"/>
      <c r="K59" s="124"/>
      <c r="L59" s="73"/>
      <c r="M59" s="65"/>
      <c r="N59" s="65"/>
      <c r="O59" s="29"/>
      <c r="P59" s="57"/>
      <c r="Q59" s="43"/>
      <c r="R59" s="125"/>
      <c r="S59" s="57"/>
      <c r="T59" s="57"/>
      <c r="U59" s="126"/>
      <c r="V59" s="127"/>
      <c r="W59" s="57"/>
      <c r="X59" s="126"/>
      <c r="Y59" s="128"/>
      <c r="Z59" s="43"/>
      <c r="AA59" s="65"/>
      <c r="AB59" s="31"/>
      <c r="AC59" s="31"/>
      <c r="AD59" s="66"/>
      <c r="AE59" s="67"/>
    </row>
    <row r="60" spans="1:31">
      <c r="A60" s="118" t="s">
        <v>155</v>
      </c>
      <c r="B60" s="73"/>
      <c r="C60" s="119"/>
      <c r="D60" s="73"/>
      <c r="E60" s="119"/>
      <c r="F60" s="73"/>
      <c r="G60" s="119"/>
      <c r="H60" s="73"/>
      <c r="I60" s="119"/>
      <c r="J60" s="73"/>
      <c r="K60" s="124"/>
      <c r="L60" s="73"/>
      <c r="M60" s="65"/>
      <c r="N60" s="65"/>
      <c r="O60" s="66"/>
      <c r="P60" s="13"/>
      <c r="Q60" s="67"/>
      <c r="R60" s="66"/>
      <c r="S60" s="13"/>
      <c r="T60" s="13"/>
      <c r="U60" s="129"/>
      <c r="V60" s="130"/>
      <c r="W60" s="13"/>
      <c r="X60" s="129"/>
      <c r="Y60" s="130"/>
      <c r="Z60" s="67"/>
      <c r="AA60" s="65"/>
      <c r="AB60" s="131"/>
      <c r="AC60" s="15"/>
      <c r="AD60" s="15"/>
      <c r="AE60" s="16"/>
    </row>
    <row r="61" ht="28" customHeight="1" spans="1:31">
      <c r="A61" s="132"/>
      <c r="B61" s="132"/>
      <c r="C61" s="118" t="s">
        <v>146</v>
      </c>
      <c r="D61" s="73"/>
      <c r="E61" s="119" t="s">
        <v>156</v>
      </c>
      <c r="F61" s="73"/>
      <c r="G61" s="120" t="s">
        <v>148</v>
      </c>
      <c r="H61" s="73"/>
      <c r="I61" s="119" t="s">
        <v>149</v>
      </c>
      <c r="J61" s="73"/>
      <c r="K61" s="119" t="s">
        <v>150</v>
      </c>
      <c r="L61" s="73"/>
      <c r="M61" s="121"/>
      <c r="N61" s="121"/>
      <c r="O61" s="133" t="s">
        <v>157</v>
      </c>
      <c r="P61" s="15"/>
      <c r="Q61" s="15"/>
      <c r="R61" s="16"/>
      <c r="S61" s="105" t="s">
        <v>158</v>
      </c>
      <c r="T61" s="15"/>
      <c r="U61" s="16"/>
      <c r="V61" s="105" t="s">
        <v>159</v>
      </c>
      <c r="W61" s="15"/>
      <c r="X61" s="15"/>
      <c r="Y61" s="15"/>
      <c r="Z61" s="16"/>
      <c r="AA61" s="65"/>
      <c r="AB61" s="117" t="s">
        <v>160</v>
      </c>
      <c r="AC61" s="117" t="s">
        <v>161</v>
      </c>
      <c r="AD61" s="117" t="s">
        <v>162</v>
      </c>
      <c r="AE61" s="16"/>
    </row>
    <row r="62" spans="1:31">
      <c r="A62" s="118" t="s">
        <v>163</v>
      </c>
      <c r="B62" s="73"/>
      <c r="C62" s="119"/>
      <c r="D62" s="73"/>
      <c r="E62" s="119"/>
      <c r="F62" s="73"/>
      <c r="G62" s="119"/>
      <c r="H62" s="73"/>
      <c r="I62" s="119"/>
      <c r="J62" s="73"/>
      <c r="K62" s="124"/>
      <c r="L62" s="73"/>
      <c r="M62" s="65"/>
      <c r="N62" s="65"/>
      <c r="O62" s="133"/>
      <c r="P62" s="57"/>
      <c r="Q62" s="57"/>
      <c r="R62" s="43"/>
      <c r="S62" s="105">
        <v>0</v>
      </c>
      <c r="T62" s="57"/>
      <c r="U62" s="43"/>
      <c r="V62" s="134"/>
      <c r="W62" s="96"/>
      <c r="X62" s="96"/>
      <c r="Y62" s="96"/>
      <c r="Z62" s="97"/>
      <c r="AA62" s="65"/>
      <c r="AB62" s="105">
        <v>14100</v>
      </c>
      <c r="AC62" s="105">
        <f>S62</f>
        <v>0</v>
      </c>
      <c r="AD62" s="69">
        <f>AC62/AB62</f>
        <v>0</v>
      </c>
      <c r="AE62" s="43"/>
    </row>
    <row r="63" spans="1:31">
      <c r="A63" s="118" t="s">
        <v>164</v>
      </c>
      <c r="B63" s="73"/>
      <c r="C63" s="119"/>
      <c r="D63" s="73"/>
      <c r="E63" s="119"/>
      <c r="F63" s="73"/>
      <c r="G63" s="119"/>
      <c r="H63" s="73"/>
      <c r="I63" s="119"/>
      <c r="J63" s="73"/>
      <c r="K63" s="124"/>
      <c r="L63" s="73"/>
      <c r="M63" s="65"/>
      <c r="N63" s="65"/>
      <c r="O63" s="130"/>
      <c r="P63" s="13"/>
      <c r="Q63" s="13"/>
      <c r="R63" s="67"/>
      <c r="S63" s="66"/>
      <c r="T63" s="13"/>
      <c r="U63" s="67"/>
      <c r="V63" s="98"/>
      <c r="W63" s="99"/>
      <c r="X63" s="99"/>
      <c r="Y63" s="99"/>
      <c r="Z63" s="100"/>
      <c r="AA63" s="65"/>
      <c r="AB63" s="31"/>
      <c r="AC63" s="31"/>
      <c r="AD63" s="66"/>
      <c r="AE63" s="67"/>
    </row>
    <row r="64" spans="1:31">
      <c r="A64" s="118" t="s">
        <v>165</v>
      </c>
      <c r="B64" s="73"/>
      <c r="C64" s="119"/>
      <c r="D64" s="73"/>
      <c r="E64" s="119"/>
      <c r="F64" s="73"/>
      <c r="G64" s="119"/>
      <c r="H64" s="73"/>
      <c r="I64" s="119"/>
      <c r="J64" s="73"/>
      <c r="K64" s="124"/>
      <c r="L64" s="73"/>
      <c r="M64" s="135"/>
      <c r="N64" s="65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65"/>
      <c r="AB64" s="136"/>
      <c r="AC64" s="136"/>
      <c r="AD64" s="137"/>
      <c r="AE64" s="137"/>
    </row>
    <row r="65" spans="1:32">
      <c r="A65" s="118" t="s">
        <v>166</v>
      </c>
      <c r="B65" s="73"/>
      <c r="C65" s="119"/>
      <c r="D65" s="73"/>
      <c r="E65" s="119"/>
      <c r="F65" s="73"/>
      <c r="G65" s="119"/>
      <c r="H65" s="73"/>
      <c r="I65" s="119"/>
      <c r="J65" s="73"/>
      <c r="K65" s="124"/>
      <c r="L65" s="73"/>
      <c r="M65" s="135"/>
      <c r="N65" s="65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65"/>
      <c r="AB65" s="136"/>
      <c r="AC65" s="136"/>
      <c r="AD65" s="137"/>
      <c r="AE65" s="137"/>
    </row>
    <row r="66" spans="1:32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</row>
    <row r="67" s="10" customFormat="1" ht="17.5" spans="1:32">
      <c r="A67" s="138"/>
      <c r="B67" s="139"/>
      <c r="C67" s="139"/>
      <c r="D67" s="139"/>
      <c r="E67" s="139"/>
      <c r="F67" s="140"/>
      <c r="G67" s="140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41"/>
    </row>
    <row r="68" s="10" customFormat="1" ht="74" customHeight="1" spans="1:32">
      <c r="A68" s="142" t="s">
        <v>167</v>
      </c>
      <c r="B68" s="142" t="s">
        <v>168</v>
      </c>
      <c r="C68" s="142" t="s">
        <v>169</v>
      </c>
      <c r="D68" s="143" t="s">
        <v>170</v>
      </c>
      <c r="E68" s="142" t="s">
        <v>171</v>
      </c>
      <c r="F68" s="142" t="s">
        <v>172</v>
      </c>
      <c r="G68" s="43"/>
      <c r="H68" s="142" t="s">
        <v>173</v>
      </c>
      <c r="I68" s="142" t="s">
        <v>174</v>
      </c>
      <c r="J68" s="142" t="s">
        <v>175</v>
      </c>
      <c r="K68" s="142" t="s">
        <v>172</v>
      </c>
      <c r="L68" s="142" t="s">
        <v>176</v>
      </c>
      <c r="M68" s="142" t="s">
        <v>177</v>
      </c>
      <c r="N68" s="142" t="s">
        <v>178</v>
      </c>
      <c r="O68" s="142" t="s">
        <v>179</v>
      </c>
      <c r="P68" s="142" t="s">
        <v>180</v>
      </c>
      <c r="Q68" s="142" t="s">
        <v>178</v>
      </c>
      <c r="R68" s="142" t="s">
        <v>181</v>
      </c>
      <c r="S68" s="142" t="s">
        <v>182</v>
      </c>
      <c r="T68" s="43"/>
      <c r="U68" s="142" t="s">
        <v>171</v>
      </c>
      <c r="V68" s="142" t="s">
        <v>172</v>
      </c>
      <c r="W68" s="142" t="s">
        <v>183</v>
      </c>
      <c r="X68" s="142" t="s">
        <v>184</v>
      </c>
      <c r="Y68" s="142" t="s">
        <v>185</v>
      </c>
      <c r="Z68" s="142" t="s">
        <v>186</v>
      </c>
      <c r="AA68" s="142" t="s">
        <v>187</v>
      </c>
      <c r="AB68" s="142" t="s">
        <v>188</v>
      </c>
      <c r="AC68" s="142" t="s">
        <v>189</v>
      </c>
      <c r="AD68" s="142" t="s">
        <v>190</v>
      </c>
      <c r="AE68" s="144" t="s">
        <v>191</v>
      </c>
    </row>
    <row r="69" s="10" customFormat="1" ht="14.15" customHeight="1" spans="1:32">
      <c r="A69" s="145" t="s">
        <v>192</v>
      </c>
      <c r="B69" s="145" t="s">
        <v>193</v>
      </c>
      <c r="C69" s="145" t="s">
        <v>194</v>
      </c>
      <c r="D69" s="145"/>
      <c r="E69" s="145"/>
      <c r="F69" s="146">
        <f>E69/2500</f>
        <v>0</v>
      </c>
      <c r="G69" s="146"/>
      <c r="H69" s="147" t="s">
        <v>195</v>
      </c>
      <c r="I69" s="147" t="s">
        <v>196</v>
      </c>
      <c r="J69" s="145"/>
      <c r="K69" s="146">
        <f>J69/300</f>
        <v>0</v>
      </c>
      <c r="L69" s="145" t="s">
        <v>194</v>
      </c>
      <c r="M69" s="145"/>
      <c r="N69" s="145"/>
      <c r="O69" s="148" t="s">
        <v>197</v>
      </c>
      <c r="P69" s="145"/>
      <c r="Q69" s="145"/>
      <c r="R69" s="149"/>
      <c r="S69" s="150" t="s">
        <v>198</v>
      </c>
      <c r="T69" s="150"/>
      <c r="U69" s="145">
        <f t="shared" ref="U69:U132" si="0">R69*0.935</f>
        <v>0</v>
      </c>
      <c r="V69" s="151">
        <f t="shared" ref="V69:V132" si="1">U69/215</f>
        <v>0</v>
      </c>
      <c r="W69" s="147">
        <v>202</v>
      </c>
      <c r="X69" s="145">
        <f>SUM(U69:U78)</f>
        <v>0</v>
      </c>
      <c r="Y69" s="146">
        <f>X69/2150</f>
        <v>0</v>
      </c>
      <c r="Z69" s="145">
        <v>170</v>
      </c>
      <c r="AA69" s="152">
        <v>168</v>
      </c>
      <c r="AB69" s="146">
        <f>AA69/Z69</f>
        <v>0.988235294117647</v>
      </c>
      <c r="AC69" s="153">
        <v>0</v>
      </c>
      <c r="AD69" s="153">
        <f>20-AC69</f>
        <v>20</v>
      </c>
      <c r="AE69" s="154"/>
      <c r="AF69" s="155"/>
    </row>
    <row r="70" s="10" customFormat="1" ht="14.15" customHeight="1" spans="1:32">
      <c r="A70" s="145"/>
      <c r="B70" s="145"/>
      <c r="C70" s="145"/>
      <c r="D70" s="145"/>
      <c r="E70" s="145"/>
      <c r="F70" s="146"/>
      <c r="G70" s="146"/>
      <c r="H70" s="147"/>
      <c r="I70" s="147"/>
      <c r="J70" s="145"/>
      <c r="K70" s="146"/>
      <c r="L70" s="145"/>
      <c r="M70" s="145"/>
      <c r="N70" s="145"/>
      <c r="O70" s="148" t="s">
        <v>199</v>
      </c>
      <c r="P70" s="145"/>
      <c r="Q70" s="145"/>
      <c r="R70" s="149"/>
      <c r="S70" s="150" t="s">
        <v>200</v>
      </c>
      <c r="T70" s="150"/>
      <c r="U70" s="145">
        <f t="shared" si="0"/>
        <v>0</v>
      </c>
      <c r="V70" s="151">
        <f t="shared" si="1"/>
        <v>0</v>
      </c>
      <c r="W70" s="147"/>
      <c r="X70" s="145"/>
      <c r="Y70" s="146"/>
      <c r="Z70" s="145"/>
      <c r="AA70" s="152"/>
      <c r="AB70" s="146"/>
      <c r="AC70" s="153"/>
      <c r="AD70" s="153"/>
      <c r="AE70" s="156"/>
      <c r="AF70" s="155"/>
    </row>
    <row r="71" s="10" customFormat="1" ht="14.15" customHeight="1" spans="1:32">
      <c r="A71" s="145"/>
      <c r="B71" s="145"/>
      <c r="C71" s="145"/>
      <c r="D71" s="145"/>
      <c r="E71" s="145"/>
      <c r="F71" s="146"/>
      <c r="G71" s="146"/>
      <c r="H71" s="147"/>
      <c r="I71" s="147"/>
      <c r="J71" s="145"/>
      <c r="K71" s="146"/>
      <c r="L71" s="145"/>
      <c r="M71" s="145"/>
      <c r="N71" s="145"/>
      <c r="O71" s="148" t="s">
        <v>201</v>
      </c>
      <c r="P71" s="145"/>
      <c r="Q71" s="145"/>
      <c r="R71" s="149"/>
      <c r="S71" s="150" t="s">
        <v>202</v>
      </c>
      <c r="T71" s="150"/>
      <c r="U71" s="145">
        <f t="shared" si="0"/>
        <v>0</v>
      </c>
      <c r="V71" s="151">
        <f t="shared" si="1"/>
        <v>0</v>
      </c>
      <c r="W71" s="147"/>
      <c r="X71" s="145"/>
      <c r="Y71" s="146"/>
      <c r="Z71" s="145"/>
      <c r="AA71" s="152"/>
      <c r="AB71" s="146"/>
      <c r="AC71" s="153"/>
      <c r="AD71" s="153"/>
      <c r="AE71" s="157"/>
      <c r="AF71" s="155"/>
    </row>
    <row r="72" s="10" customFormat="1" ht="14.15" customHeight="1" spans="1:32">
      <c r="A72" s="145"/>
      <c r="B72" s="145"/>
      <c r="C72" s="145"/>
      <c r="D72" s="145"/>
      <c r="E72" s="145"/>
      <c r="F72" s="146"/>
      <c r="G72" s="146"/>
      <c r="H72" s="147"/>
      <c r="I72" s="147"/>
      <c r="J72" s="145"/>
      <c r="K72" s="146"/>
      <c r="L72" s="145"/>
      <c r="M72" s="145"/>
      <c r="N72" s="145"/>
      <c r="O72" s="148" t="s">
        <v>203</v>
      </c>
      <c r="P72" s="145"/>
      <c r="Q72" s="145"/>
      <c r="R72" s="149"/>
      <c r="S72" s="150" t="s">
        <v>204</v>
      </c>
      <c r="T72" s="150"/>
      <c r="U72" s="145">
        <f t="shared" si="0"/>
        <v>0</v>
      </c>
      <c r="V72" s="151">
        <f t="shared" si="1"/>
        <v>0</v>
      </c>
      <c r="W72" s="147"/>
      <c r="X72" s="145"/>
      <c r="Y72" s="146"/>
      <c r="Z72" s="145"/>
      <c r="AA72" s="152"/>
      <c r="AB72" s="146"/>
      <c r="AC72" s="153"/>
      <c r="AD72" s="153"/>
      <c r="AE72" s="154" t="s">
        <v>205</v>
      </c>
      <c r="AF72" s="155"/>
    </row>
    <row r="73" s="10" customFormat="1" ht="14.15" customHeight="1" spans="1:32">
      <c r="A73" s="145"/>
      <c r="B73" s="145"/>
      <c r="C73" s="145"/>
      <c r="D73" s="145"/>
      <c r="E73" s="145"/>
      <c r="F73" s="146"/>
      <c r="G73" s="146"/>
      <c r="H73" s="147"/>
      <c r="I73" s="147"/>
      <c r="J73" s="145"/>
      <c r="K73" s="146"/>
      <c r="L73" s="145"/>
      <c r="M73" s="145"/>
      <c r="N73" s="145"/>
      <c r="O73" s="148" t="s">
        <v>206</v>
      </c>
      <c r="P73" s="145"/>
      <c r="Q73" s="145"/>
      <c r="R73" s="149"/>
      <c r="S73" s="150" t="s">
        <v>207</v>
      </c>
      <c r="T73" s="150"/>
      <c r="U73" s="145">
        <f t="shared" si="0"/>
        <v>0</v>
      </c>
      <c r="V73" s="151">
        <f t="shared" si="1"/>
        <v>0</v>
      </c>
      <c r="W73" s="147"/>
      <c r="X73" s="145"/>
      <c r="Y73" s="146"/>
      <c r="Z73" s="145"/>
      <c r="AA73" s="152"/>
      <c r="AB73" s="146"/>
      <c r="AC73" s="153"/>
      <c r="AD73" s="153"/>
      <c r="AE73" s="157"/>
      <c r="AF73" s="155"/>
    </row>
    <row r="74" s="10" customFormat="1" ht="14.15" customHeight="1" spans="1:32">
      <c r="A74" s="145"/>
      <c r="B74" s="145" t="s">
        <v>208</v>
      </c>
      <c r="C74" s="145" t="s">
        <v>194</v>
      </c>
      <c r="D74" s="145"/>
      <c r="E74" s="145"/>
      <c r="F74" s="146">
        <f>E74/2500</f>
        <v>0</v>
      </c>
      <c r="G74" s="146"/>
      <c r="H74" s="147" t="s">
        <v>195</v>
      </c>
      <c r="I74" s="147"/>
      <c r="J74" s="145"/>
      <c r="K74" s="146"/>
      <c r="L74" s="145"/>
      <c r="M74" s="145"/>
      <c r="N74" s="145"/>
      <c r="O74" s="148" t="s">
        <v>209</v>
      </c>
      <c r="P74" s="145"/>
      <c r="Q74" s="145"/>
      <c r="R74" s="149"/>
      <c r="S74" s="150" t="s">
        <v>210</v>
      </c>
      <c r="T74" s="150"/>
      <c r="U74" s="145">
        <f t="shared" si="0"/>
        <v>0</v>
      </c>
      <c r="V74" s="151">
        <f t="shared" si="1"/>
        <v>0</v>
      </c>
      <c r="W74" s="147"/>
      <c r="X74" s="145"/>
      <c r="Y74" s="146"/>
      <c r="Z74" s="145"/>
      <c r="AA74" s="152"/>
      <c r="AB74" s="146"/>
      <c r="AC74" s="153"/>
      <c r="AD74" s="153"/>
      <c r="AE74" s="154"/>
      <c r="AF74" s="155"/>
    </row>
    <row r="75" s="10" customFormat="1" ht="14.15" customHeight="1" spans="1:32">
      <c r="A75" s="145"/>
      <c r="B75" s="145"/>
      <c r="C75" s="145"/>
      <c r="D75" s="145"/>
      <c r="E75" s="145"/>
      <c r="F75" s="146"/>
      <c r="G75" s="146"/>
      <c r="H75" s="147"/>
      <c r="I75" s="147"/>
      <c r="J75" s="145"/>
      <c r="K75" s="146"/>
      <c r="L75" s="145"/>
      <c r="M75" s="145"/>
      <c r="N75" s="145"/>
      <c r="O75" s="148" t="s">
        <v>211</v>
      </c>
      <c r="P75" s="145"/>
      <c r="Q75" s="145"/>
      <c r="R75" s="149"/>
      <c r="S75" s="150" t="s">
        <v>212</v>
      </c>
      <c r="T75" s="150"/>
      <c r="U75" s="145">
        <f t="shared" si="0"/>
        <v>0</v>
      </c>
      <c r="V75" s="151">
        <f t="shared" si="1"/>
        <v>0</v>
      </c>
      <c r="W75" s="147"/>
      <c r="X75" s="145"/>
      <c r="Y75" s="146"/>
      <c r="Z75" s="145"/>
      <c r="AA75" s="152"/>
      <c r="AB75" s="146"/>
      <c r="AC75" s="153"/>
      <c r="AD75" s="153"/>
      <c r="AE75" s="156"/>
      <c r="AF75" s="155"/>
    </row>
    <row r="76" s="10" customFormat="1" ht="14.15" customHeight="1" spans="1:32">
      <c r="A76" s="145"/>
      <c r="B76" s="145"/>
      <c r="C76" s="145"/>
      <c r="D76" s="145"/>
      <c r="E76" s="145"/>
      <c r="F76" s="146"/>
      <c r="G76" s="146"/>
      <c r="H76" s="147"/>
      <c r="I76" s="147"/>
      <c r="J76" s="145"/>
      <c r="K76" s="146"/>
      <c r="L76" s="145"/>
      <c r="M76" s="145"/>
      <c r="N76" s="145"/>
      <c r="O76" s="148" t="s">
        <v>213</v>
      </c>
      <c r="P76" s="145"/>
      <c r="Q76" s="145"/>
      <c r="R76" s="149"/>
      <c r="S76" s="150" t="s">
        <v>214</v>
      </c>
      <c r="T76" s="150"/>
      <c r="U76" s="145">
        <f t="shared" si="0"/>
        <v>0</v>
      </c>
      <c r="V76" s="151">
        <f t="shared" si="1"/>
        <v>0</v>
      </c>
      <c r="W76" s="147"/>
      <c r="X76" s="145"/>
      <c r="Y76" s="146"/>
      <c r="Z76" s="145"/>
      <c r="AA76" s="152"/>
      <c r="AB76" s="146"/>
      <c r="AC76" s="153"/>
      <c r="AD76" s="153"/>
      <c r="AE76" s="157"/>
      <c r="AF76" s="155"/>
    </row>
    <row r="77" s="10" customFormat="1" ht="14.15" customHeight="1" spans="1:32">
      <c r="A77" s="145"/>
      <c r="B77" s="145"/>
      <c r="C77" s="145"/>
      <c r="D77" s="145"/>
      <c r="E77" s="145"/>
      <c r="F77" s="146"/>
      <c r="G77" s="146"/>
      <c r="H77" s="147"/>
      <c r="I77" s="147"/>
      <c r="J77" s="145"/>
      <c r="K77" s="146"/>
      <c r="L77" s="145"/>
      <c r="M77" s="145"/>
      <c r="N77" s="145"/>
      <c r="O77" s="148" t="s">
        <v>215</v>
      </c>
      <c r="P77" s="145"/>
      <c r="Q77" s="145"/>
      <c r="R77" s="149"/>
      <c r="S77" s="150" t="s">
        <v>216</v>
      </c>
      <c r="T77" s="150"/>
      <c r="U77" s="145">
        <f t="shared" si="0"/>
        <v>0</v>
      </c>
      <c r="V77" s="151">
        <f t="shared" si="1"/>
        <v>0</v>
      </c>
      <c r="W77" s="147"/>
      <c r="X77" s="145"/>
      <c r="Y77" s="146"/>
      <c r="Z77" s="145"/>
      <c r="AA77" s="152"/>
      <c r="AB77" s="146"/>
      <c r="AC77" s="153"/>
      <c r="AD77" s="153"/>
      <c r="AE77" s="154" t="s">
        <v>217</v>
      </c>
      <c r="AF77" s="155"/>
    </row>
    <row r="78" s="10" customFormat="1" ht="14.15" customHeight="1" spans="1:32">
      <c r="A78" s="145"/>
      <c r="B78" s="145"/>
      <c r="C78" s="145"/>
      <c r="D78" s="145"/>
      <c r="E78" s="145"/>
      <c r="F78" s="146"/>
      <c r="G78" s="146"/>
      <c r="H78" s="147"/>
      <c r="I78" s="147"/>
      <c r="J78" s="145"/>
      <c r="K78" s="146"/>
      <c r="L78" s="145"/>
      <c r="M78" s="145"/>
      <c r="N78" s="145"/>
      <c r="O78" s="148" t="s">
        <v>218</v>
      </c>
      <c r="P78" s="145"/>
      <c r="Q78" s="145"/>
      <c r="R78" s="149"/>
      <c r="S78" s="150" t="s">
        <v>219</v>
      </c>
      <c r="T78" s="150"/>
      <c r="U78" s="145">
        <f t="shared" si="0"/>
        <v>0</v>
      </c>
      <c r="V78" s="151">
        <f t="shared" si="1"/>
        <v>0</v>
      </c>
      <c r="W78" s="147"/>
      <c r="X78" s="145"/>
      <c r="Y78" s="146"/>
      <c r="Z78" s="145"/>
      <c r="AA78" s="152"/>
      <c r="AB78" s="146"/>
      <c r="AC78" s="153"/>
      <c r="AD78" s="153"/>
      <c r="AE78" s="157"/>
      <c r="AF78" s="155"/>
    </row>
    <row r="79" s="10" customFormat="1" ht="14.15" customHeight="1" spans="1:32">
      <c r="A79" s="145" t="s">
        <v>220</v>
      </c>
      <c r="B79" s="145" t="s">
        <v>221</v>
      </c>
      <c r="C79" s="145" t="s">
        <v>194</v>
      </c>
      <c r="D79" s="145"/>
      <c r="E79" s="145"/>
      <c r="F79" s="146">
        <f>E79/2500</f>
        <v>0</v>
      </c>
      <c r="G79" s="146"/>
      <c r="H79" s="147" t="s">
        <v>195</v>
      </c>
      <c r="I79" s="158" t="s">
        <v>222</v>
      </c>
      <c r="J79" s="145"/>
      <c r="K79" s="146">
        <f>J79/300</f>
        <v>0</v>
      </c>
      <c r="L79" s="145" t="s">
        <v>194</v>
      </c>
      <c r="M79" s="145"/>
      <c r="N79" s="145"/>
      <c r="O79" s="148" t="s">
        <v>223</v>
      </c>
      <c r="P79" s="145"/>
      <c r="Q79" s="145"/>
      <c r="R79" s="149"/>
      <c r="S79" s="150" t="s">
        <v>224</v>
      </c>
      <c r="T79" s="150"/>
      <c r="U79" s="145">
        <f t="shared" si="0"/>
        <v>0</v>
      </c>
      <c r="V79" s="151">
        <f t="shared" si="1"/>
        <v>0</v>
      </c>
      <c r="W79" s="147">
        <v>201</v>
      </c>
      <c r="X79" s="145">
        <f>SUM(U79:U88)</f>
        <v>0</v>
      </c>
      <c r="Y79" s="146">
        <f>X79/2150</f>
        <v>0</v>
      </c>
      <c r="Z79" s="145">
        <v>170</v>
      </c>
      <c r="AA79" s="152">
        <v>170</v>
      </c>
      <c r="AB79" s="146">
        <f>AA79/Z79</f>
        <v>1</v>
      </c>
      <c r="AC79" s="145" t="s">
        <v>225</v>
      </c>
      <c r="AD79" s="153">
        <f>20-AC79</f>
        <v>20</v>
      </c>
      <c r="AE79" s="154"/>
      <c r="AF79" s="155"/>
    </row>
    <row r="80" s="10" customFormat="1" ht="14.15" customHeight="1" spans="1:32">
      <c r="A80" s="145"/>
      <c r="B80" s="145"/>
      <c r="C80" s="145"/>
      <c r="D80" s="145"/>
      <c r="E80" s="145"/>
      <c r="F80" s="146"/>
      <c r="G80" s="146"/>
      <c r="H80" s="147"/>
      <c r="I80" s="158"/>
      <c r="J80" s="145"/>
      <c r="K80" s="146"/>
      <c r="L80" s="145"/>
      <c r="M80" s="145"/>
      <c r="N80" s="145"/>
      <c r="O80" s="148" t="s">
        <v>226</v>
      </c>
      <c r="P80" s="145"/>
      <c r="Q80" s="145"/>
      <c r="R80" s="149"/>
      <c r="S80" s="150" t="s">
        <v>227</v>
      </c>
      <c r="T80" s="150"/>
      <c r="U80" s="145">
        <f t="shared" si="0"/>
        <v>0</v>
      </c>
      <c r="V80" s="151">
        <f t="shared" si="1"/>
        <v>0</v>
      </c>
      <c r="W80" s="147"/>
      <c r="X80" s="145"/>
      <c r="Y80" s="146"/>
      <c r="Z80" s="145"/>
      <c r="AA80" s="152"/>
      <c r="AB80" s="146"/>
      <c r="AC80" s="145"/>
      <c r="AD80" s="153"/>
      <c r="AE80" s="156"/>
      <c r="AF80" s="155"/>
    </row>
    <row r="81" s="10" customFormat="1" ht="14.15" customHeight="1" spans="1:32">
      <c r="A81" s="145"/>
      <c r="B81" s="145"/>
      <c r="C81" s="145"/>
      <c r="D81" s="145"/>
      <c r="E81" s="145"/>
      <c r="F81" s="146"/>
      <c r="G81" s="146"/>
      <c r="H81" s="147"/>
      <c r="I81" s="158"/>
      <c r="J81" s="145"/>
      <c r="K81" s="146"/>
      <c r="L81" s="145"/>
      <c r="M81" s="145"/>
      <c r="N81" s="145"/>
      <c r="O81" s="148" t="s">
        <v>228</v>
      </c>
      <c r="P81" s="145"/>
      <c r="Q81" s="145"/>
      <c r="R81" s="149"/>
      <c r="S81" s="150" t="s">
        <v>229</v>
      </c>
      <c r="T81" s="150"/>
      <c r="U81" s="145">
        <f t="shared" si="0"/>
        <v>0</v>
      </c>
      <c r="V81" s="151">
        <f t="shared" si="1"/>
        <v>0</v>
      </c>
      <c r="W81" s="147"/>
      <c r="X81" s="145"/>
      <c r="Y81" s="146"/>
      <c r="Z81" s="145"/>
      <c r="AA81" s="152"/>
      <c r="AB81" s="146"/>
      <c r="AC81" s="145"/>
      <c r="AD81" s="153"/>
      <c r="AE81" s="157"/>
      <c r="AF81" s="155"/>
    </row>
    <row r="82" s="10" customFormat="1" ht="14.15" customHeight="1" spans="1:32">
      <c r="A82" s="145"/>
      <c r="B82" s="145"/>
      <c r="C82" s="145"/>
      <c r="D82" s="145"/>
      <c r="E82" s="145"/>
      <c r="F82" s="146"/>
      <c r="G82" s="146"/>
      <c r="H82" s="147"/>
      <c r="I82" s="158"/>
      <c r="J82" s="145"/>
      <c r="K82" s="146"/>
      <c r="L82" s="145"/>
      <c r="M82" s="145"/>
      <c r="N82" s="145"/>
      <c r="O82" s="148" t="s">
        <v>230</v>
      </c>
      <c r="P82" s="145"/>
      <c r="Q82" s="145"/>
      <c r="R82" s="149"/>
      <c r="S82" s="150" t="s">
        <v>231</v>
      </c>
      <c r="T82" s="150"/>
      <c r="U82" s="145">
        <f t="shared" si="0"/>
        <v>0</v>
      </c>
      <c r="V82" s="151">
        <f t="shared" si="1"/>
        <v>0</v>
      </c>
      <c r="W82" s="147"/>
      <c r="X82" s="145"/>
      <c r="Y82" s="146"/>
      <c r="Z82" s="145"/>
      <c r="AA82" s="152"/>
      <c r="AB82" s="146"/>
      <c r="AC82" s="145"/>
      <c r="AD82" s="153"/>
      <c r="AE82" s="154" t="s">
        <v>205</v>
      </c>
      <c r="AF82" s="155"/>
    </row>
    <row r="83" s="10" customFormat="1" ht="14.15" customHeight="1" spans="1:32">
      <c r="A83" s="145"/>
      <c r="B83" s="145"/>
      <c r="C83" s="145"/>
      <c r="D83" s="145"/>
      <c r="E83" s="145"/>
      <c r="F83" s="146"/>
      <c r="G83" s="146"/>
      <c r="H83" s="147"/>
      <c r="I83" s="158"/>
      <c r="J83" s="145"/>
      <c r="K83" s="146"/>
      <c r="L83" s="145"/>
      <c r="M83" s="145"/>
      <c r="N83" s="145"/>
      <c r="O83" s="148" t="s">
        <v>232</v>
      </c>
      <c r="P83" s="145"/>
      <c r="Q83" s="145"/>
      <c r="R83" s="149"/>
      <c r="S83" s="150" t="s">
        <v>233</v>
      </c>
      <c r="T83" s="150"/>
      <c r="U83" s="145">
        <f t="shared" si="0"/>
        <v>0</v>
      </c>
      <c r="V83" s="151">
        <f t="shared" si="1"/>
        <v>0</v>
      </c>
      <c r="W83" s="147"/>
      <c r="X83" s="145"/>
      <c r="Y83" s="146"/>
      <c r="Z83" s="145"/>
      <c r="AA83" s="152"/>
      <c r="AB83" s="146"/>
      <c r="AC83" s="145"/>
      <c r="AD83" s="153"/>
      <c r="AE83" s="157"/>
      <c r="AF83" s="155"/>
    </row>
    <row r="84" s="10" customFormat="1" ht="14.15" customHeight="1" spans="1:32">
      <c r="A84" s="145"/>
      <c r="B84" s="145" t="s">
        <v>234</v>
      </c>
      <c r="C84" s="145" t="s">
        <v>194</v>
      </c>
      <c r="D84" s="145"/>
      <c r="E84" s="145"/>
      <c r="F84" s="146">
        <f>E84/2500</f>
        <v>0</v>
      </c>
      <c r="G84" s="146"/>
      <c r="H84" s="147" t="s">
        <v>195</v>
      </c>
      <c r="I84" s="158"/>
      <c r="J84" s="145"/>
      <c r="K84" s="146"/>
      <c r="L84" s="145"/>
      <c r="M84" s="145"/>
      <c r="N84" s="145"/>
      <c r="O84" s="148" t="s">
        <v>235</v>
      </c>
      <c r="P84" s="145"/>
      <c r="Q84" s="145"/>
      <c r="R84" s="149"/>
      <c r="S84" s="150" t="s">
        <v>236</v>
      </c>
      <c r="T84" s="150"/>
      <c r="U84" s="145">
        <f t="shared" si="0"/>
        <v>0</v>
      </c>
      <c r="V84" s="151">
        <f t="shared" si="1"/>
        <v>0</v>
      </c>
      <c r="W84" s="147"/>
      <c r="X84" s="145"/>
      <c r="Y84" s="146"/>
      <c r="Z84" s="145"/>
      <c r="AA84" s="152"/>
      <c r="AB84" s="146"/>
      <c r="AC84" s="145"/>
      <c r="AD84" s="153"/>
      <c r="AE84" s="154"/>
      <c r="AF84" s="155"/>
    </row>
    <row r="85" s="10" customFormat="1" ht="14.15" customHeight="1" spans="1:32">
      <c r="A85" s="145"/>
      <c r="B85" s="145"/>
      <c r="C85" s="145"/>
      <c r="D85" s="145"/>
      <c r="E85" s="145"/>
      <c r="F85" s="146"/>
      <c r="G85" s="146"/>
      <c r="H85" s="147"/>
      <c r="I85" s="158"/>
      <c r="J85" s="145"/>
      <c r="K85" s="146"/>
      <c r="L85" s="145"/>
      <c r="M85" s="145"/>
      <c r="N85" s="145"/>
      <c r="O85" s="148" t="s">
        <v>237</v>
      </c>
      <c r="P85" s="145"/>
      <c r="Q85" s="145"/>
      <c r="R85" s="149"/>
      <c r="S85" s="150" t="s">
        <v>238</v>
      </c>
      <c r="T85" s="150"/>
      <c r="U85" s="145">
        <f t="shared" si="0"/>
        <v>0</v>
      </c>
      <c r="V85" s="151">
        <f t="shared" si="1"/>
        <v>0</v>
      </c>
      <c r="W85" s="147"/>
      <c r="X85" s="145"/>
      <c r="Y85" s="146"/>
      <c r="Z85" s="145"/>
      <c r="AA85" s="152"/>
      <c r="AB85" s="146"/>
      <c r="AC85" s="145"/>
      <c r="AD85" s="153"/>
      <c r="AE85" s="156"/>
      <c r="AF85" s="155"/>
    </row>
    <row r="86" s="10" customFormat="1" ht="14.15" customHeight="1" spans="1:32">
      <c r="A86" s="145"/>
      <c r="B86" s="145"/>
      <c r="C86" s="145"/>
      <c r="D86" s="145"/>
      <c r="E86" s="145"/>
      <c r="F86" s="146"/>
      <c r="G86" s="146"/>
      <c r="H86" s="147"/>
      <c r="I86" s="158"/>
      <c r="J86" s="145"/>
      <c r="K86" s="146"/>
      <c r="L86" s="145"/>
      <c r="M86" s="145"/>
      <c r="N86" s="145"/>
      <c r="O86" s="148" t="s">
        <v>239</v>
      </c>
      <c r="P86" s="145"/>
      <c r="Q86" s="145"/>
      <c r="R86" s="149"/>
      <c r="S86" s="150" t="s">
        <v>240</v>
      </c>
      <c r="T86" s="150"/>
      <c r="U86" s="145">
        <f t="shared" si="0"/>
        <v>0</v>
      </c>
      <c r="V86" s="151">
        <f t="shared" si="1"/>
        <v>0</v>
      </c>
      <c r="W86" s="147"/>
      <c r="X86" s="145"/>
      <c r="Y86" s="146"/>
      <c r="Z86" s="145"/>
      <c r="AA86" s="152"/>
      <c r="AB86" s="146"/>
      <c r="AC86" s="145"/>
      <c r="AD86" s="153"/>
      <c r="AE86" s="157"/>
      <c r="AF86" s="155"/>
    </row>
    <row r="87" s="10" customFormat="1" ht="14.15" customHeight="1" spans="1:32">
      <c r="A87" s="145"/>
      <c r="B87" s="145"/>
      <c r="C87" s="145"/>
      <c r="D87" s="145"/>
      <c r="E87" s="145"/>
      <c r="F87" s="146"/>
      <c r="G87" s="146"/>
      <c r="H87" s="147"/>
      <c r="I87" s="158"/>
      <c r="J87" s="145"/>
      <c r="K87" s="146"/>
      <c r="L87" s="145"/>
      <c r="M87" s="145"/>
      <c r="N87" s="145"/>
      <c r="O87" s="148" t="s">
        <v>241</v>
      </c>
      <c r="P87" s="145"/>
      <c r="Q87" s="145"/>
      <c r="R87" s="149"/>
      <c r="S87" s="150" t="s">
        <v>242</v>
      </c>
      <c r="T87" s="150"/>
      <c r="U87" s="145">
        <f t="shared" si="0"/>
        <v>0</v>
      </c>
      <c r="V87" s="151">
        <f t="shared" si="1"/>
        <v>0</v>
      </c>
      <c r="W87" s="147"/>
      <c r="X87" s="145"/>
      <c r="Y87" s="146"/>
      <c r="Z87" s="145"/>
      <c r="AA87" s="152"/>
      <c r="AB87" s="146"/>
      <c r="AC87" s="145"/>
      <c r="AD87" s="153"/>
      <c r="AE87" s="154" t="s">
        <v>217</v>
      </c>
      <c r="AF87" s="155"/>
    </row>
    <row r="88" s="10" customFormat="1" ht="14.15" customHeight="1" spans="1:32">
      <c r="A88" s="145"/>
      <c r="B88" s="145"/>
      <c r="C88" s="145"/>
      <c r="D88" s="145"/>
      <c r="E88" s="145"/>
      <c r="F88" s="146"/>
      <c r="G88" s="146"/>
      <c r="H88" s="147"/>
      <c r="I88" s="158"/>
      <c r="J88" s="145"/>
      <c r="K88" s="146"/>
      <c r="L88" s="145"/>
      <c r="M88" s="145"/>
      <c r="N88" s="145"/>
      <c r="O88" s="148" t="s">
        <v>243</v>
      </c>
      <c r="P88" s="145"/>
      <c r="Q88" s="145"/>
      <c r="R88" s="149"/>
      <c r="S88" s="150" t="s">
        <v>244</v>
      </c>
      <c r="T88" s="150"/>
      <c r="U88" s="145">
        <f t="shared" si="0"/>
        <v>0</v>
      </c>
      <c r="V88" s="151">
        <f t="shared" si="1"/>
        <v>0</v>
      </c>
      <c r="W88" s="147"/>
      <c r="X88" s="145"/>
      <c r="Y88" s="146"/>
      <c r="Z88" s="145"/>
      <c r="AA88" s="152"/>
      <c r="AB88" s="146"/>
      <c r="AC88" s="145"/>
      <c r="AD88" s="153"/>
      <c r="AE88" s="157"/>
      <c r="AF88" s="155"/>
    </row>
    <row r="89" s="10" customFormat="1" ht="14.15" customHeight="1" spans="1:32">
      <c r="A89" s="145" t="s">
        <v>245</v>
      </c>
      <c r="B89" s="145" t="s">
        <v>246</v>
      </c>
      <c r="C89" s="145" t="s">
        <v>194</v>
      </c>
      <c r="D89" s="145"/>
      <c r="E89" s="145"/>
      <c r="F89" s="146">
        <f>E89/2500</f>
        <v>0</v>
      </c>
      <c r="G89" s="146"/>
      <c r="H89" s="147" t="s">
        <v>195</v>
      </c>
      <c r="I89" s="147" t="s">
        <v>247</v>
      </c>
      <c r="J89" s="145"/>
      <c r="K89" s="146">
        <f>J89/300</f>
        <v>0</v>
      </c>
      <c r="L89" s="145" t="s">
        <v>194</v>
      </c>
      <c r="M89" s="145"/>
      <c r="N89" s="145"/>
      <c r="O89" s="159" t="s">
        <v>248</v>
      </c>
      <c r="P89" s="145"/>
      <c r="Q89" s="145"/>
      <c r="R89" s="149"/>
      <c r="S89" s="150" t="s">
        <v>249</v>
      </c>
      <c r="T89" s="150"/>
      <c r="U89" s="145">
        <f t="shared" si="0"/>
        <v>0</v>
      </c>
      <c r="V89" s="151">
        <f t="shared" si="1"/>
        <v>0</v>
      </c>
      <c r="W89" s="147">
        <v>302</v>
      </c>
      <c r="X89" s="145">
        <f>SUM(U89:U102)</f>
        <v>0</v>
      </c>
      <c r="Y89" s="146">
        <f>X89/2150</f>
        <v>0</v>
      </c>
      <c r="Z89" s="145">
        <v>154</v>
      </c>
      <c r="AA89" s="152">
        <v>140</v>
      </c>
      <c r="AB89" s="146">
        <f>AA89/Z89</f>
        <v>0.909090909090909</v>
      </c>
      <c r="AC89" s="145" t="s">
        <v>225</v>
      </c>
      <c r="AD89" s="153">
        <f>20-AC89</f>
        <v>20</v>
      </c>
      <c r="AE89" s="154"/>
      <c r="AF89" s="155"/>
    </row>
    <row r="90" s="10" customFormat="1" ht="14.15" customHeight="1" spans="1:32">
      <c r="A90" s="145"/>
      <c r="B90" s="145"/>
      <c r="C90" s="145"/>
      <c r="D90" s="145"/>
      <c r="E90" s="145"/>
      <c r="F90" s="146"/>
      <c r="G90" s="146"/>
      <c r="H90" s="147"/>
      <c r="I90" s="147"/>
      <c r="J90" s="145"/>
      <c r="K90" s="146"/>
      <c r="L90" s="145"/>
      <c r="M90" s="145"/>
      <c r="N90" s="145"/>
      <c r="O90" s="159" t="s">
        <v>250</v>
      </c>
      <c r="P90" s="145"/>
      <c r="Q90" s="145"/>
      <c r="R90" s="149"/>
      <c r="S90" s="150" t="s">
        <v>251</v>
      </c>
      <c r="T90" s="150"/>
      <c r="U90" s="145">
        <f t="shared" si="0"/>
        <v>0</v>
      </c>
      <c r="V90" s="151">
        <f t="shared" si="1"/>
        <v>0</v>
      </c>
      <c r="W90" s="147"/>
      <c r="X90" s="145"/>
      <c r="Y90" s="146"/>
      <c r="Z90" s="145"/>
      <c r="AA90" s="152"/>
      <c r="AB90" s="146"/>
      <c r="AC90" s="145"/>
      <c r="AD90" s="153"/>
      <c r="AE90" s="156"/>
      <c r="AF90" s="155"/>
    </row>
    <row r="91" s="10" customFormat="1" ht="14.15" customHeight="1" spans="1:32">
      <c r="A91" s="145"/>
      <c r="B91" s="145"/>
      <c r="C91" s="145"/>
      <c r="D91" s="145"/>
      <c r="E91" s="145"/>
      <c r="F91" s="146"/>
      <c r="G91" s="146"/>
      <c r="H91" s="147"/>
      <c r="I91" s="147"/>
      <c r="J91" s="145"/>
      <c r="K91" s="146"/>
      <c r="L91" s="145"/>
      <c r="M91" s="145"/>
      <c r="N91" s="145"/>
      <c r="O91" s="159" t="s">
        <v>252</v>
      </c>
      <c r="P91" s="145"/>
      <c r="Q91" s="145"/>
      <c r="R91" s="149"/>
      <c r="S91" s="150" t="s">
        <v>253</v>
      </c>
      <c r="T91" s="150"/>
      <c r="U91" s="145">
        <f t="shared" si="0"/>
        <v>0</v>
      </c>
      <c r="V91" s="151">
        <f t="shared" si="1"/>
        <v>0</v>
      </c>
      <c r="W91" s="147"/>
      <c r="X91" s="145"/>
      <c r="Y91" s="146"/>
      <c r="Z91" s="145"/>
      <c r="AA91" s="152"/>
      <c r="AB91" s="146"/>
      <c r="AC91" s="145"/>
      <c r="AD91" s="153"/>
      <c r="AE91" s="156"/>
      <c r="AF91" s="155"/>
    </row>
    <row r="92" s="10" customFormat="1" ht="14.15" customHeight="1" spans="1:32">
      <c r="A92" s="145"/>
      <c r="B92" s="145"/>
      <c r="C92" s="145"/>
      <c r="D92" s="145"/>
      <c r="E92" s="145"/>
      <c r="F92" s="146"/>
      <c r="G92" s="146"/>
      <c r="H92" s="147"/>
      <c r="I92" s="147"/>
      <c r="J92" s="145"/>
      <c r="K92" s="146"/>
      <c r="L92" s="145"/>
      <c r="M92" s="145"/>
      <c r="N92" s="145"/>
      <c r="O92" s="159" t="s">
        <v>254</v>
      </c>
      <c r="P92" s="145"/>
      <c r="Q92" s="145"/>
      <c r="R92" s="149"/>
      <c r="S92" s="150" t="s">
        <v>255</v>
      </c>
      <c r="T92" s="150"/>
      <c r="U92" s="145">
        <f t="shared" si="0"/>
        <v>0</v>
      </c>
      <c r="V92" s="151">
        <f t="shared" si="1"/>
        <v>0</v>
      </c>
      <c r="W92" s="147"/>
      <c r="X92" s="145"/>
      <c r="Y92" s="146"/>
      <c r="Z92" s="145"/>
      <c r="AA92" s="152"/>
      <c r="AB92" s="146"/>
      <c r="AC92" s="145"/>
      <c r="AD92" s="153"/>
      <c r="AE92" s="157"/>
      <c r="AF92" s="155"/>
    </row>
    <row r="93" s="10" customFormat="1" ht="14.15" customHeight="1" spans="1:32">
      <c r="A93" s="145"/>
      <c r="B93" s="145"/>
      <c r="C93" s="145"/>
      <c r="D93" s="145"/>
      <c r="E93" s="145"/>
      <c r="F93" s="146"/>
      <c r="G93" s="146"/>
      <c r="H93" s="147"/>
      <c r="I93" s="147"/>
      <c r="J93" s="145"/>
      <c r="K93" s="146"/>
      <c r="L93" s="145"/>
      <c r="M93" s="145"/>
      <c r="N93" s="145"/>
      <c r="O93" s="159" t="s">
        <v>256</v>
      </c>
      <c r="P93" s="145"/>
      <c r="Q93" s="145"/>
      <c r="R93" s="149"/>
      <c r="S93" s="150" t="s">
        <v>257</v>
      </c>
      <c r="T93" s="150"/>
      <c r="U93" s="145">
        <f t="shared" si="0"/>
        <v>0</v>
      </c>
      <c r="V93" s="151">
        <f t="shared" si="1"/>
        <v>0</v>
      </c>
      <c r="W93" s="147"/>
      <c r="X93" s="145"/>
      <c r="Y93" s="146"/>
      <c r="Z93" s="145"/>
      <c r="AA93" s="152"/>
      <c r="AB93" s="146"/>
      <c r="AC93" s="145"/>
      <c r="AD93" s="153"/>
      <c r="AE93" s="154" t="s">
        <v>205</v>
      </c>
      <c r="AF93" s="155"/>
    </row>
    <row r="94" s="10" customFormat="1" ht="14.15" customHeight="1" spans="1:32">
      <c r="A94" s="145"/>
      <c r="B94" s="145"/>
      <c r="C94" s="145"/>
      <c r="D94" s="145"/>
      <c r="E94" s="145"/>
      <c r="F94" s="146"/>
      <c r="G94" s="146"/>
      <c r="H94" s="147"/>
      <c r="I94" s="147"/>
      <c r="J94" s="145"/>
      <c r="K94" s="146"/>
      <c r="L94" s="145"/>
      <c r="M94" s="145"/>
      <c r="N94" s="145"/>
      <c r="O94" s="159" t="s">
        <v>258</v>
      </c>
      <c r="P94" s="145"/>
      <c r="Q94" s="145"/>
      <c r="R94" s="149"/>
      <c r="S94" s="150" t="s">
        <v>259</v>
      </c>
      <c r="T94" s="150"/>
      <c r="U94" s="145">
        <f t="shared" si="0"/>
        <v>0</v>
      </c>
      <c r="V94" s="151">
        <f t="shared" si="1"/>
        <v>0</v>
      </c>
      <c r="W94" s="147"/>
      <c r="X94" s="145"/>
      <c r="Y94" s="146"/>
      <c r="Z94" s="145"/>
      <c r="AA94" s="152"/>
      <c r="AB94" s="146"/>
      <c r="AC94" s="145"/>
      <c r="AD94" s="153"/>
      <c r="AE94" s="156"/>
      <c r="AF94" s="155"/>
    </row>
    <row r="95" s="10" customFormat="1" ht="14.15" customHeight="1" spans="1:32">
      <c r="A95" s="145"/>
      <c r="B95" s="145"/>
      <c r="C95" s="145"/>
      <c r="D95" s="145"/>
      <c r="E95" s="145"/>
      <c r="F95" s="146"/>
      <c r="G95" s="146"/>
      <c r="H95" s="147"/>
      <c r="I95" s="147"/>
      <c r="J95" s="145"/>
      <c r="K95" s="146"/>
      <c r="L95" s="145"/>
      <c r="M95" s="145"/>
      <c r="N95" s="145"/>
      <c r="O95" s="159" t="s">
        <v>260</v>
      </c>
      <c r="P95" s="145"/>
      <c r="Q95" s="145"/>
      <c r="R95" s="149"/>
      <c r="S95" s="150" t="s">
        <v>261</v>
      </c>
      <c r="T95" s="150"/>
      <c r="U95" s="145">
        <f t="shared" si="0"/>
        <v>0</v>
      </c>
      <c r="V95" s="151">
        <f t="shared" si="1"/>
        <v>0</v>
      </c>
      <c r="W95" s="147"/>
      <c r="X95" s="145"/>
      <c r="Y95" s="146"/>
      <c r="Z95" s="145"/>
      <c r="AA95" s="152"/>
      <c r="AB95" s="146"/>
      <c r="AC95" s="145"/>
      <c r="AD95" s="153"/>
      <c r="AE95" s="157"/>
      <c r="AF95" s="155"/>
    </row>
    <row r="96" s="10" customFormat="1" ht="14.15" customHeight="1" spans="1:32">
      <c r="A96" s="145"/>
      <c r="B96" s="145" t="s">
        <v>262</v>
      </c>
      <c r="C96" s="145" t="s">
        <v>194</v>
      </c>
      <c r="D96" s="145"/>
      <c r="E96" s="145"/>
      <c r="F96" s="146">
        <f>E96/2500</f>
        <v>0</v>
      </c>
      <c r="G96" s="146"/>
      <c r="H96" s="147" t="s">
        <v>195</v>
      </c>
      <c r="I96" s="147"/>
      <c r="J96" s="145"/>
      <c r="K96" s="146"/>
      <c r="L96" s="145"/>
      <c r="M96" s="145"/>
      <c r="N96" s="145"/>
      <c r="O96" s="159" t="s">
        <v>263</v>
      </c>
      <c r="P96" s="145"/>
      <c r="Q96" s="145"/>
      <c r="R96" s="149"/>
      <c r="S96" s="150" t="s">
        <v>264</v>
      </c>
      <c r="T96" s="150"/>
      <c r="U96" s="145">
        <f t="shared" si="0"/>
        <v>0</v>
      </c>
      <c r="V96" s="151">
        <f t="shared" si="1"/>
        <v>0</v>
      </c>
      <c r="W96" s="147"/>
      <c r="X96" s="145"/>
      <c r="Y96" s="146"/>
      <c r="Z96" s="145"/>
      <c r="AA96" s="152"/>
      <c r="AB96" s="146"/>
      <c r="AC96" s="145"/>
      <c r="AD96" s="153"/>
      <c r="AE96" s="154"/>
      <c r="AF96" s="155"/>
    </row>
    <row r="97" s="10" customFormat="1" ht="14.15" customHeight="1" spans="1:32">
      <c r="A97" s="145"/>
      <c r="B97" s="145"/>
      <c r="C97" s="145"/>
      <c r="D97" s="145"/>
      <c r="E97" s="145"/>
      <c r="F97" s="146"/>
      <c r="G97" s="146"/>
      <c r="H97" s="147"/>
      <c r="I97" s="147"/>
      <c r="J97" s="145"/>
      <c r="K97" s="146"/>
      <c r="L97" s="145"/>
      <c r="M97" s="145"/>
      <c r="N97" s="145"/>
      <c r="O97" s="159" t="s">
        <v>265</v>
      </c>
      <c r="P97" s="145"/>
      <c r="Q97" s="145"/>
      <c r="R97" s="149"/>
      <c r="S97" s="150" t="s">
        <v>266</v>
      </c>
      <c r="T97" s="150"/>
      <c r="U97" s="145">
        <f t="shared" si="0"/>
        <v>0</v>
      </c>
      <c r="V97" s="151">
        <f t="shared" si="1"/>
        <v>0</v>
      </c>
      <c r="W97" s="147"/>
      <c r="X97" s="145"/>
      <c r="Y97" s="146"/>
      <c r="Z97" s="145"/>
      <c r="AA97" s="152"/>
      <c r="AB97" s="146"/>
      <c r="AC97" s="145"/>
      <c r="AD97" s="153"/>
      <c r="AE97" s="156"/>
      <c r="AF97" s="155"/>
    </row>
    <row r="98" s="10" customFormat="1" ht="14.15" customHeight="1" spans="1:32">
      <c r="A98" s="145"/>
      <c r="B98" s="145"/>
      <c r="C98" s="145"/>
      <c r="D98" s="145"/>
      <c r="E98" s="145"/>
      <c r="F98" s="146"/>
      <c r="G98" s="146"/>
      <c r="H98" s="147"/>
      <c r="I98" s="147"/>
      <c r="J98" s="145"/>
      <c r="K98" s="146"/>
      <c r="L98" s="145"/>
      <c r="M98" s="145"/>
      <c r="N98" s="145"/>
      <c r="O98" s="159" t="s">
        <v>267</v>
      </c>
      <c r="P98" s="145"/>
      <c r="Q98" s="145"/>
      <c r="R98" s="149"/>
      <c r="S98" s="150" t="s">
        <v>268</v>
      </c>
      <c r="T98" s="150"/>
      <c r="U98" s="145">
        <f t="shared" si="0"/>
        <v>0</v>
      </c>
      <c r="V98" s="151">
        <f t="shared" si="1"/>
        <v>0</v>
      </c>
      <c r="W98" s="147"/>
      <c r="X98" s="145"/>
      <c r="Y98" s="146"/>
      <c r="Z98" s="145"/>
      <c r="AA98" s="152"/>
      <c r="AB98" s="146"/>
      <c r="AC98" s="145"/>
      <c r="AD98" s="153"/>
      <c r="AE98" s="156"/>
      <c r="AF98" s="155"/>
    </row>
    <row r="99" s="10" customFormat="1" ht="14.15" customHeight="1" spans="1:32">
      <c r="A99" s="145"/>
      <c r="B99" s="145"/>
      <c r="C99" s="145"/>
      <c r="D99" s="145"/>
      <c r="E99" s="145"/>
      <c r="F99" s="146"/>
      <c r="G99" s="146"/>
      <c r="H99" s="147"/>
      <c r="I99" s="147"/>
      <c r="J99" s="145"/>
      <c r="K99" s="146"/>
      <c r="L99" s="145"/>
      <c r="M99" s="145"/>
      <c r="N99" s="145"/>
      <c r="O99" s="159" t="s">
        <v>269</v>
      </c>
      <c r="P99" s="145"/>
      <c r="Q99" s="145"/>
      <c r="R99" s="149"/>
      <c r="S99" s="150" t="s">
        <v>270</v>
      </c>
      <c r="T99" s="150"/>
      <c r="U99" s="145">
        <f t="shared" si="0"/>
        <v>0</v>
      </c>
      <c r="V99" s="151">
        <f t="shared" si="1"/>
        <v>0</v>
      </c>
      <c r="W99" s="147"/>
      <c r="X99" s="145"/>
      <c r="Y99" s="146"/>
      <c r="Z99" s="145"/>
      <c r="AA99" s="152"/>
      <c r="AB99" s="146"/>
      <c r="AC99" s="145"/>
      <c r="AD99" s="153"/>
      <c r="AE99" s="157"/>
      <c r="AF99" s="155"/>
    </row>
    <row r="100" s="10" customFormat="1" ht="14.15" customHeight="1" spans="1:32">
      <c r="A100" s="145"/>
      <c r="B100" s="145"/>
      <c r="C100" s="145"/>
      <c r="D100" s="145"/>
      <c r="E100" s="145"/>
      <c r="F100" s="146"/>
      <c r="G100" s="146"/>
      <c r="H100" s="147"/>
      <c r="I100" s="147"/>
      <c r="J100" s="145"/>
      <c r="K100" s="146"/>
      <c r="L100" s="145"/>
      <c r="M100" s="145"/>
      <c r="N100" s="145"/>
      <c r="O100" s="159" t="s">
        <v>271</v>
      </c>
      <c r="P100" s="145"/>
      <c r="Q100" s="145"/>
      <c r="R100" s="149"/>
      <c r="S100" s="150" t="s">
        <v>272</v>
      </c>
      <c r="T100" s="150"/>
      <c r="U100" s="145">
        <f t="shared" si="0"/>
        <v>0</v>
      </c>
      <c r="V100" s="151">
        <f t="shared" si="1"/>
        <v>0</v>
      </c>
      <c r="W100" s="147"/>
      <c r="X100" s="145"/>
      <c r="Y100" s="146"/>
      <c r="Z100" s="145"/>
      <c r="AA100" s="152"/>
      <c r="AB100" s="146"/>
      <c r="AC100" s="145"/>
      <c r="AD100" s="153"/>
      <c r="AE100" s="154" t="s">
        <v>217</v>
      </c>
      <c r="AF100" s="155"/>
    </row>
    <row r="101" s="10" customFormat="1" ht="14.15" customHeight="1" spans="1:32">
      <c r="A101" s="145"/>
      <c r="B101" s="145"/>
      <c r="C101" s="145"/>
      <c r="D101" s="145"/>
      <c r="E101" s="145"/>
      <c r="F101" s="146"/>
      <c r="G101" s="146"/>
      <c r="H101" s="147"/>
      <c r="I101" s="147"/>
      <c r="J101" s="145"/>
      <c r="K101" s="146"/>
      <c r="L101" s="145"/>
      <c r="M101" s="145"/>
      <c r="N101" s="145"/>
      <c r="O101" s="159" t="s">
        <v>273</v>
      </c>
      <c r="P101" s="145"/>
      <c r="Q101" s="145"/>
      <c r="R101" s="149"/>
      <c r="S101" s="150" t="s">
        <v>274</v>
      </c>
      <c r="T101" s="150"/>
      <c r="U101" s="145">
        <f t="shared" si="0"/>
        <v>0</v>
      </c>
      <c r="V101" s="151">
        <f t="shared" si="1"/>
        <v>0</v>
      </c>
      <c r="W101" s="147"/>
      <c r="X101" s="145"/>
      <c r="Y101" s="146"/>
      <c r="Z101" s="145"/>
      <c r="AA101" s="152"/>
      <c r="AB101" s="146"/>
      <c r="AC101" s="145"/>
      <c r="AD101" s="153"/>
      <c r="AE101" s="156"/>
      <c r="AF101" s="155"/>
    </row>
    <row r="102" s="10" customFormat="1" ht="14.15" customHeight="1" spans="1:32">
      <c r="A102" s="145"/>
      <c r="B102" s="145"/>
      <c r="C102" s="145"/>
      <c r="D102" s="145"/>
      <c r="E102" s="145"/>
      <c r="F102" s="146"/>
      <c r="G102" s="146"/>
      <c r="H102" s="147"/>
      <c r="I102" s="147"/>
      <c r="J102" s="145"/>
      <c r="K102" s="146"/>
      <c r="L102" s="145"/>
      <c r="M102" s="145"/>
      <c r="N102" s="145"/>
      <c r="O102" s="159" t="s">
        <v>275</v>
      </c>
      <c r="P102" s="145"/>
      <c r="Q102" s="145"/>
      <c r="R102" s="149"/>
      <c r="S102" s="150" t="s">
        <v>276</v>
      </c>
      <c r="T102" s="150"/>
      <c r="U102" s="145">
        <f t="shared" si="0"/>
        <v>0</v>
      </c>
      <c r="V102" s="151">
        <f t="shared" si="1"/>
        <v>0</v>
      </c>
      <c r="W102" s="147"/>
      <c r="X102" s="145"/>
      <c r="Y102" s="146"/>
      <c r="Z102" s="145"/>
      <c r="AA102" s="152"/>
      <c r="AB102" s="146"/>
      <c r="AC102" s="145"/>
      <c r="AD102" s="153"/>
      <c r="AE102" s="157"/>
      <c r="AF102" s="155"/>
    </row>
    <row r="103" s="10" customFormat="1" ht="14.15" customHeight="1" spans="1:32">
      <c r="A103" s="145" t="s">
        <v>277</v>
      </c>
      <c r="B103" s="145" t="s">
        <v>278</v>
      </c>
      <c r="C103" s="145" t="s">
        <v>194</v>
      </c>
      <c r="D103" s="145"/>
      <c r="E103" s="145"/>
      <c r="F103" s="146">
        <f>E103/2500</f>
        <v>0</v>
      </c>
      <c r="G103" s="146"/>
      <c r="H103" s="147" t="s">
        <v>195</v>
      </c>
      <c r="I103" s="147" t="s">
        <v>279</v>
      </c>
      <c r="J103" s="145"/>
      <c r="K103" s="146">
        <f>J103/300</f>
        <v>0</v>
      </c>
      <c r="L103" s="145" t="s">
        <v>194</v>
      </c>
      <c r="M103" s="145"/>
      <c r="N103" s="145"/>
      <c r="O103" s="159" t="s">
        <v>280</v>
      </c>
      <c r="P103" s="145"/>
      <c r="Q103" s="145"/>
      <c r="R103" s="149"/>
      <c r="S103" s="150" t="s">
        <v>281</v>
      </c>
      <c r="T103" s="150"/>
      <c r="U103" s="145">
        <f t="shared" si="0"/>
        <v>0</v>
      </c>
      <c r="V103" s="151">
        <f t="shared" si="1"/>
        <v>0</v>
      </c>
      <c r="W103" s="147">
        <v>301</v>
      </c>
      <c r="X103" s="145">
        <f>SUM(U103:U116)</f>
        <v>0</v>
      </c>
      <c r="Y103" s="146">
        <f>X103/2150</f>
        <v>0</v>
      </c>
      <c r="Z103" s="145">
        <v>154</v>
      </c>
      <c r="AA103" s="152">
        <v>152</v>
      </c>
      <c r="AB103" s="146">
        <f>AA103/Z103</f>
        <v>0.987012987012987</v>
      </c>
      <c r="AC103" s="145" t="s">
        <v>225</v>
      </c>
      <c r="AD103" s="153">
        <f>20-AC103</f>
        <v>20</v>
      </c>
      <c r="AE103" s="154"/>
      <c r="AF103" s="155"/>
    </row>
    <row r="104" s="10" customFormat="1" ht="14.15" customHeight="1" spans="1:32">
      <c r="A104" s="145"/>
      <c r="B104" s="145"/>
      <c r="C104" s="145"/>
      <c r="D104" s="145"/>
      <c r="E104" s="145"/>
      <c r="F104" s="146"/>
      <c r="G104" s="146"/>
      <c r="H104" s="147"/>
      <c r="I104" s="147"/>
      <c r="J104" s="145"/>
      <c r="K104" s="146"/>
      <c r="L104" s="145"/>
      <c r="M104" s="145"/>
      <c r="N104" s="145"/>
      <c r="O104" s="148" t="s">
        <v>282</v>
      </c>
      <c r="P104" s="145"/>
      <c r="Q104" s="145"/>
      <c r="R104" s="149"/>
      <c r="S104" s="150" t="s">
        <v>283</v>
      </c>
      <c r="T104" s="150"/>
      <c r="U104" s="145">
        <f t="shared" si="0"/>
        <v>0</v>
      </c>
      <c r="V104" s="151">
        <f t="shared" si="1"/>
        <v>0</v>
      </c>
      <c r="W104" s="147"/>
      <c r="X104" s="145"/>
      <c r="Y104" s="146"/>
      <c r="Z104" s="145"/>
      <c r="AA104" s="152"/>
      <c r="AB104" s="146"/>
      <c r="AC104" s="145"/>
      <c r="AD104" s="153"/>
      <c r="AE104" s="156"/>
      <c r="AF104" s="155"/>
    </row>
    <row r="105" s="10" customFormat="1" ht="14.15" customHeight="1" spans="1:32">
      <c r="A105" s="145"/>
      <c r="B105" s="145"/>
      <c r="C105" s="145"/>
      <c r="D105" s="145"/>
      <c r="E105" s="145"/>
      <c r="F105" s="146"/>
      <c r="G105" s="146"/>
      <c r="H105" s="147"/>
      <c r="I105" s="147"/>
      <c r="J105" s="145"/>
      <c r="K105" s="146"/>
      <c r="L105" s="145"/>
      <c r="M105" s="145"/>
      <c r="N105" s="145"/>
      <c r="O105" s="159" t="s">
        <v>284</v>
      </c>
      <c r="P105" s="145"/>
      <c r="Q105" s="145"/>
      <c r="R105" s="149"/>
      <c r="S105" s="150" t="s">
        <v>285</v>
      </c>
      <c r="T105" s="150"/>
      <c r="U105" s="145">
        <f t="shared" si="0"/>
        <v>0</v>
      </c>
      <c r="V105" s="151">
        <f t="shared" si="1"/>
        <v>0</v>
      </c>
      <c r="W105" s="147"/>
      <c r="X105" s="145"/>
      <c r="Y105" s="146"/>
      <c r="Z105" s="145"/>
      <c r="AA105" s="152"/>
      <c r="AB105" s="146"/>
      <c r="AC105" s="145"/>
      <c r="AD105" s="153"/>
      <c r="AE105" s="156"/>
      <c r="AF105" s="155"/>
    </row>
    <row r="106" s="10" customFormat="1" ht="14.15" customHeight="1" spans="1:32">
      <c r="A106" s="145"/>
      <c r="B106" s="145"/>
      <c r="C106" s="145"/>
      <c r="D106" s="145"/>
      <c r="E106" s="145"/>
      <c r="F106" s="146"/>
      <c r="G106" s="146"/>
      <c r="H106" s="147"/>
      <c r="I106" s="147"/>
      <c r="J106" s="145"/>
      <c r="K106" s="146"/>
      <c r="L106" s="145"/>
      <c r="M106" s="145"/>
      <c r="N106" s="145"/>
      <c r="O106" s="148" t="s">
        <v>286</v>
      </c>
      <c r="P106" s="145"/>
      <c r="Q106" s="145"/>
      <c r="R106" s="149"/>
      <c r="S106" s="150" t="s">
        <v>287</v>
      </c>
      <c r="T106" s="150"/>
      <c r="U106" s="145">
        <f t="shared" si="0"/>
        <v>0</v>
      </c>
      <c r="V106" s="151">
        <f t="shared" si="1"/>
        <v>0</v>
      </c>
      <c r="W106" s="147"/>
      <c r="X106" s="145"/>
      <c r="Y106" s="146"/>
      <c r="Z106" s="145"/>
      <c r="AA106" s="152"/>
      <c r="AB106" s="146"/>
      <c r="AC106" s="145"/>
      <c r="AD106" s="153"/>
      <c r="AE106" s="157"/>
      <c r="AF106" s="155"/>
    </row>
    <row r="107" s="10" customFormat="1" ht="14.15" customHeight="1" spans="1:32">
      <c r="A107" s="145"/>
      <c r="B107" s="145"/>
      <c r="C107" s="145"/>
      <c r="D107" s="145"/>
      <c r="E107" s="145"/>
      <c r="F107" s="146"/>
      <c r="G107" s="146"/>
      <c r="H107" s="147"/>
      <c r="I107" s="147"/>
      <c r="J107" s="145"/>
      <c r="K107" s="146"/>
      <c r="L107" s="145"/>
      <c r="M107" s="145"/>
      <c r="N107" s="145"/>
      <c r="O107" s="159" t="s">
        <v>288</v>
      </c>
      <c r="P107" s="145"/>
      <c r="Q107" s="145"/>
      <c r="R107" s="149"/>
      <c r="S107" s="150" t="s">
        <v>289</v>
      </c>
      <c r="T107" s="150"/>
      <c r="U107" s="145">
        <f t="shared" si="0"/>
        <v>0</v>
      </c>
      <c r="V107" s="151">
        <f t="shared" si="1"/>
        <v>0</v>
      </c>
      <c r="W107" s="147"/>
      <c r="X107" s="145"/>
      <c r="Y107" s="146"/>
      <c r="Z107" s="145"/>
      <c r="AA107" s="152"/>
      <c r="AB107" s="146"/>
      <c r="AC107" s="145"/>
      <c r="AD107" s="153"/>
      <c r="AE107" s="154" t="s">
        <v>205</v>
      </c>
      <c r="AF107" s="155"/>
    </row>
    <row r="108" s="10" customFormat="1" ht="14.15" customHeight="1" spans="1:32">
      <c r="A108" s="145"/>
      <c r="B108" s="145"/>
      <c r="C108" s="145"/>
      <c r="D108" s="145"/>
      <c r="E108" s="145"/>
      <c r="F108" s="146"/>
      <c r="G108" s="146"/>
      <c r="H108" s="147"/>
      <c r="I108" s="147"/>
      <c r="J108" s="145"/>
      <c r="K108" s="146"/>
      <c r="L108" s="145"/>
      <c r="M108" s="145"/>
      <c r="N108" s="145"/>
      <c r="O108" s="148" t="s">
        <v>290</v>
      </c>
      <c r="P108" s="145"/>
      <c r="Q108" s="145"/>
      <c r="R108" s="149"/>
      <c r="S108" s="150" t="s">
        <v>291</v>
      </c>
      <c r="T108" s="150"/>
      <c r="U108" s="145">
        <f t="shared" si="0"/>
        <v>0</v>
      </c>
      <c r="V108" s="151">
        <f t="shared" si="1"/>
        <v>0</v>
      </c>
      <c r="W108" s="147"/>
      <c r="X108" s="145"/>
      <c r="Y108" s="146"/>
      <c r="Z108" s="145"/>
      <c r="AA108" s="152"/>
      <c r="AB108" s="146"/>
      <c r="AC108" s="145"/>
      <c r="AD108" s="153"/>
      <c r="AE108" s="156"/>
      <c r="AF108" s="155"/>
    </row>
    <row r="109" s="10" customFormat="1" ht="14.15" customHeight="1" spans="1:32">
      <c r="A109" s="145"/>
      <c r="B109" s="145"/>
      <c r="C109" s="145"/>
      <c r="D109" s="145"/>
      <c r="E109" s="145"/>
      <c r="F109" s="146"/>
      <c r="G109" s="146"/>
      <c r="H109" s="147"/>
      <c r="I109" s="147"/>
      <c r="J109" s="145"/>
      <c r="K109" s="146"/>
      <c r="L109" s="145"/>
      <c r="M109" s="145"/>
      <c r="N109" s="145"/>
      <c r="O109" s="159" t="s">
        <v>292</v>
      </c>
      <c r="P109" s="145"/>
      <c r="Q109" s="145"/>
      <c r="R109" s="149"/>
      <c r="S109" s="150" t="s">
        <v>293</v>
      </c>
      <c r="T109" s="150"/>
      <c r="U109" s="145">
        <f t="shared" si="0"/>
        <v>0</v>
      </c>
      <c r="V109" s="151">
        <f t="shared" si="1"/>
        <v>0</v>
      </c>
      <c r="W109" s="147"/>
      <c r="X109" s="145"/>
      <c r="Y109" s="146"/>
      <c r="Z109" s="145"/>
      <c r="AA109" s="152"/>
      <c r="AB109" s="146"/>
      <c r="AC109" s="145"/>
      <c r="AD109" s="153"/>
      <c r="AE109" s="157"/>
      <c r="AF109" s="155"/>
    </row>
    <row r="110" s="10" customFormat="1" ht="14.15" customHeight="1" spans="1:32">
      <c r="A110" s="145"/>
      <c r="B110" s="145" t="s">
        <v>294</v>
      </c>
      <c r="C110" s="145" t="s">
        <v>194</v>
      </c>
      <c r="D110" s="145"/>
      <c r="E110" s="145"/>
      <c r="F110" s="146">
        <f>E110/2500</f>
        <v>0</v>
      </c>
      <c r="G110" s="146"/>
      <c r="H110" s="147" t="s">
        <v>195</v>
      </c>
      <c r="I110" s="147"/>
      <c r="J110" s="145"/>
      <c r="K110" s="146"/>
      <c r="L110" s="145"/>
      <c r="M110" s="145"/>
      <c r="N110" s="145"/>
      <c r="O110" s="148" t="s">
        <v>295</v>
      </c>
      <c r="P110" s="145"/>
      <c r="Q110" s="145"/>
      <c r="R110" s="149"/>
      <c r="S110" s="150" t="s">
        <v>296</v>
      </c>
      <c r="T110" s="150"/>
      <c r="U110" s="145">
        <f t="shared" si="0"/>
        <v>0</v>
      </c>
      <c r="V110" s="151">
        <f t="shared" si="1"/>
        <v>0</v>
      </c>
      <c r="W110" s="147"/>
      <c r="X110" s="145"/>
      <c r="Y110" s="146"/>
      <c r="Z110" s="145"/>
      <c r="AA110" s="152"/>
      <c r="AB110" s="146"/>
      <c r="AC110" s="145"/>
      <c r="AD110" s="153"/>
      <c r="AE110" s="154"/>
      <c r="AF110" s="155"/>
    </row>
    <row r="111" s="10" customFormat="1" ht="14.15" customHeight="1" spans="1:32">
      <c r="A111" s="145"/>
      <c r="B111" s="145"/>
      <c r="C111" s="145"/>
      <c r="D111" s="145"/>
      <c r="E111" s="145"/>
      <c r="F111" s="146"/>
      <c r="G111" s="146"/>
      <c r="H111" s="147"/>
      <c r="I111" s="147"/>
      <c r="J111" s="145"/>
      <c r="K111" s="146"/>
      <c r="L111" s="145"/>
      <c r="M111" s="145"/>
      <c r="N111" s="145"/>
      <c r="O111" s="148" t="s">
        <v>297</v>
      </c>
      <c r="P111" s="145"/>
      <c r="Q111" s="145"/>
      <c r="R111" s="149"/>
      <c r="S111" s="150" t="s">
        <v>298</v>
      </c>
      <c r="T111" s="150"/>
      <c r="U111" s="145">
        <f t="shared" si="0"/>
        <v>0</v>
      </c>
      <c r="V111" s="151">
        <f t="shared" si="1"/>
        <v>0</v>
      </c>
      <c r="W111" s="147"/>
      <c r="X111" s="145"/>
      <c r="Y111" s="146"/>
      <c r="Z111" s="145"/>
      <c r="AA111" s="152"/>
      <c r="AB111" s="146"/>
      <c r="AC111" s="145"/>
      <c r="AD111" s="153"/>
      <c r="AE111" s="156"/>
      <c r="AF111" s="155"/>
    </row>
    <row r="112" s="10" customFormat="1" ht="14.15" customHeight="1" spans="1:32">
      <c r="A112" s="145"/>
      <c r="B112" s="145"/>
      <c r="C112" s="145"/>
      <c r="D112" s="145"/>
      <c r="E112" s="145"/>
      <c r="F112" s="146"/>
      <c r="G112" s="146"/>
      <c r="H112" s="147"/>
      <c r="I112" s="147"/>
      <c r="J112" s="145"/>
      <c r="K112" s="146"/>
      <c r="L112" s="145"/>
      <c r="M112" s="145"/>
      <c r="N112" s="145"/>
      <c r="O112" s="148" t="s">
        <v>299</v>
      </c>
      <c r="P112" s="145"/>
      <c r="Q112" s="145"/>
      <c r="R112" s="149"/>
      <c r="S112" s="150" t="s">
        <v>300</v>
      </c>
      <c r="T112" s="150"/>
      <c r="U112" s="145">
        <f t="shared" si="0"/>
        <v>0</v>
      </c>
      <c r="V112" s="151">
        <f t="shared" si="1"/>
        <v>0</v>
      </c>
      <c r="W112" s="147"/>
      <c r="X112" s="145"/>
      <c r="Y112" s="146"/>
      <c r="Z112" s="145"/>
      <c r="AA112" s="152"/>
      <c r="AB112" s="146"/>
      <c r="AC112" s="145"/>
      <c r="AD112" s="153"/>
      <c r="AE112" s="156"/>
      <c r="AF112" s="155"/>
    </row>
    <row r="113" s="10" customFormat="1" ht="14.15" customHeight="1" spans="1:32">
      <c r="A113" s="145"/>
      <c r="B113" s="145"/>
      <c r="C113" s="145"/>
      <c r="D113" s="145"/>
      <c r="E113" s="145"/>
      <c r="F113" s="146"/>
      <c r="G113" s="146"/>
      <c r="H113" s="147"/>
      <c r="I113" s="147"/>
      <c r="J113" s="145"/>
      <c r="K113" s="146"/>
      <c r="L113" s="145"/>
      <c r="M113" s="145"/>
      <c r="N113" s="145"/>
      <c r="O113" s="148" t="s">
        <v>301</v>
      </c>
      <c r="P113" s="145"/>
      <c r="Q113" s="145"/>
      <c r="R113" s="149"/>
      <c r="S113" s="150" t="s">
        <v>302</v>
      </c>
      <c r="T113" s="150"/>
      <c r="U113" s="145">
        <f t="shared" si="0"/>
        <v>0</v>
      </c>
      <c r="V113" s="151">
        <f t="shared" si="1"/>
        <v>0</v>
      </c>
      <c r="W113" s="147"/>
      <c r="X113" s="145"/>
      <c r="Y113" s="146"/>
      <c r="Z113" s="145"/>
      <c r="AA113" s="152"/>
      <c r="AB113" s="146"/>
      <c r="AC113" s="145"/>
      <c r="AD113" s="153"/>
      <c r="AE113" s="157"/>
      <c r="AF113" s="155"/>
    </row>
    <row r="114" s="10" customFormat="1" ht="14.15" customHeight="1" spans="1:32">
      <c r="A114" s="145"/>
      <c r="B114" s="145"/>
      <c r="C114" s="145"/>
      <c r="D114" s="145"/>
      <c r="E114" s="145"/>
      <c r="F114" s="146"/>
      <c r="G114" s="146"/>
      <c r="H114" s="147"/>
      <c r="I114" s="147"/>
      <c r="J114" s="145"/>
      <c r="K114" s="146"/>
      <c r="L114" s="145"/>
      <c r="M114" s="145"/>
      <c r="N114" s="145"/>
      <c r="O114" s="148" t="s">
        <v>303</v>
      </c>
      <c r="P114" s="145"/>
      <c r="Q114" s="145"/>
      <c r="R114" s="149"/>
      <c r="S114" s="150" t="s">
        <v>304</v>
      </c>
      <c r="T114" s="150"/>
      <c r="U114" s="145">
        <f t="shared" si="0"/>
        <v>0</v>
      </c>
      <c r="V114" s="151">
        <f t="shared" si="1"/>
        <v>0</v>
      </c>
      <c r="W114" s="147"/>
      <c r="X114" s="145"/>
      <c r="Y114" s="146"/>
      <c r="Z114" s="145"/>
      <c r="AA114" s="152"/>
      <c r="AB114" s="146"/>
      <c r="AC114" s="145"/>
      <c r="AD114" s="153"/>
      <c r="AE114" s="154" t="s">
        <v>217</v>
      </c>
      <c r="AF114" s="155"/>
    </row>
    <row r="115" s="10" customFormat="1" ht="14.15" customHeight="1" spans="1:32">
      <c r="A115" s="145"/>
      <c r="B115" s="145"/>
      <c r="C115" s="145"/>
      <c r="D115" s="145"/>
      <c r="E115" s="145"/>
      <c r="F115" s="146"/>
      <c r="G115" s="146"/>
      <c r="H115" s="147"/>
      <c r="I115" s="147"/>
      <c r="J115" s="145"/>
      <c r="K115" s="146"/>
      <c r="L115" s="145"/>
      <c r="M115" s="145"/>
      <c r="N115" s="145"/>
      <c r="O115" s="148" t="s">
        <v>305</v>
      </c>
      <c r="P115" s="145"/>
      <c r="Q115" s="145"/>
      <c r="R115" s="149"/>
      <c r="S115" s="150" t="s">
        <v>306</v>
      </c>
      <c r="T115" s="150"/>
      <c r="U115" s="145">
        <f t="shared" si="0"/>
        <v>0</v>
      </c>
      <c r="V115" s="151">
        <f t="shared" si="1"/>
        <v>0</v>
      </c>
      <c r="W115" s="147"/>
      <c r="X115" s="145"/>
      <c r="Y115" s="146"/>
      <c r="Z115" s="145"/>
      <c r="AA115" s="152"/>
      <c r="AB115" s="146"/>
      <c r="AC115" s="145"/>
      <c r="AD115" s="153"/>
      <c r="AE115" s="156"/>
      <c r="AF115" s="155"/>
    </row>
    <row r="116" s="10" customFormat="1" ht="14.15" customHeight="1" spans="1:32">
      <c r="A116" s="145"/>
      <c r="B116" s="145"/>
      <c r="C116" s="145"/>
      <c r="D116" s="145"/>
      <c r="E116" s="145"/>
      <c r="F116" s="146"/>
      <c r="G116" s="146"/>
      <c r="H116" s="147"/>
      <c r="I116" s="147"/>
      <c r="J116" s="145"/>
      <c r="K116" s="146"/>
      <c r="L116" s="145"/>
      <c r="M116" s="145"/>
      <c r="N116" s="145"/>
      <c r="O116" s="148" t="s">
        <v>307</v>
      </c>
      <c r="P116" s="145"/>
      <c r="Q116" s="145"/>
      <c r="R116" s="149"/>
      <c r="S116" s="150" t="s">
        <v>308</v>
      </c>
      <c r="T116" s="150"/>
      <c r="U116" s="145">
        <f t="shared" si="0"/>
        <v>0</v>
      </c>
      <c r="V116" s="151">
        <f t="shared" si="1"/>
        <v>0</v>
      </c>
      <c r="W116" s="147"/>
      <c r="X116" s="145"/>
      <c r="Y116" s="146"/>
      <c r="Z116" s="145"/>
      <c r="AA116" s="152"/>
      <c r="AB116" s="146"/>
      <c r="AC116" s="145"/>
      <c r="AD116" s="153"/>
      <c r="AE116" s="157"/>
      <c r="AF116" s="155"/>
    </row>
    <row r="117" s="10" customFormat="1" ht="14.15" customHeight="1" spans="1:32">
      <c r="A117" s="145" t="s">
        <v>309</v>
      </c>
      <c r="B117" s="145" t="s">
        <v>310</v>
      </c>
      <c r="C117" s="145" t="s">
        <v>194</v>
      </c>
      <c r="D117" s="145"/>
      <c r="E117" s="145"/>
      <c r="F117" s="146">
        <f>E117/2500</f>
        <v>0</v>
      </c>
      <c r="G117" s="146"/>
      <c r="H117" s="147" t="s">
        <v>195</v>
      </c>
      <c r="I117" s="147" t="s">
        <v>311</v>
      </c>
      <c r="J117" s="145"/>
      <c r="K117" s="146">
        <f>J117/300</f>
        <v>0</v>
      </c>
      <c r="L117" s="145" t="s">
        <v>194</v>
      </c>
      <c r="M117" s="145"/>
      <c r="N117" s="145"/>
      <c r="O117" s="148" t="s">
        <v>312</v>
      </c>
      <c r="P117" s="145"/>
      <c r="Q117" s="145"/>
      <c r="R117" s="149"/>
      <c r="S117" s="150" t="s">
        <v>313</v>
      </c>
      <c r="T117" s="150"/>
      <c r="U117" s="145">
        <f t="shared" si="0"/>
        <v>0</v>
      </c>
      <c r="V117" s="151">
        <f t="shared" si="1"/>
        <v>0</v>
      </c>
      <c r="W117" s="147">
        <v>402</v>
      </c>
      <c r="X117" s="145">
        <f>SUM(U117:U126)</f>
        <v>0</v>
      </c>
      <c r="Y117" s="146">
        <f>X117/2150</f>
        <v>0</v>
      </c>
      <c r="Z117" s="145">
        <v>170</v>
      </c>
      <c r="AA117" s="152">
        <v>170</v>
      </c>
      <c r="AB117" s="146">
        <f>AA117/Z117</f>
        <v>1</v>
      </c>
      <c r="AC117" s="145" t="s">
        <v>225</v>
      </c>
      <c r="AD117" s="153">
        <f>20-AC117</f>
        <v>20</v>
      </c>
      <c r="AE117" s="154"/>
      <c r="AF117" s="155"/>
    </row>
    <row r="118" s="10" customFormat="1" ht="14.15" customHeight="1" spans="1:32">
      <c r="A118" s="145"/>
      <c r="B118" s="145"/>
      <c r="C118" s="145"/>
      <c r="D118" s="145"/>
      <c r="E118" s="145"/>
      <c r="F118" s="146"/>
      <c r="G118" s="146"/>
      <c r="H118" s="147"/>
      <c r="I118" s="147"/>
      <c r="J118" s="145"/>
      <c r="K118" s="146"/>
      <c r="L118" s="145"/>
      <c r="M118" s="145"/>
      <c r="N118" s="145"/>
      <c r="O118" s="148" t="s">
        <v>314</v>
      </c>
      <c r="P118" s="145"/>
      <c r="Q118" s="145"/>
      <c r="R118" s="149"/>
      <c r="S118" s="150" t="s">
        <v>315</v>
      </c>
      <c r="T118" s="150"/>
      <c r="U118" s="145">
        <f t="shared" si="0"/>
        <v>0</v>
      </c>
      <c r="V118" s="151">
        <f t="shared" si="1"/>
        <v>0</v>
      </c>
      <c r="W118" s="147"/>
      <c r="X118" s="145"/>
      <c r="Y118" s="146"/>
      <c r="Z118" s="145"/>
      <c r="AA118" s="152"/>
      <c r="AB118" s="146"/>
      <c r="AC118" s="145"/>
      <c r="AD118" s="153"/>
      <c r="AE118" s="156"/>
      <c r="AF118" s="155"/>
    </row>
    <row r="119" s="10" customFormat="1" ht="14.15" customHeight="1" spans="1:32">
      <c r="A119" s="145"/>
      <c r="B119" s="145"/>
      <c r="C119" s="145"/>
      <c r="D119" s="145"/>
      <c r="E119" s="145"/>
      <c r="F119" s="146"/>
      <c r="G119" s="146"/>
      <c r="H119" s="147"/>
      <c r="I119" s="147"/>
      <c r="J119" s="145"/>
      <c r="K119" s="146"/>
      <c r="L119" s="145"/>
      <c r="M119" s="145"/>
      <c r="N119" s="145"/>
      <c r="O119" s="148" t="s">
        <v>316</v>
      </c>
      <c r="P119" s="145"/>
      <c r="Q119" s="145"/>
      <c r="R119" s="149"/>
      <c r="S119" s="150" t="s">
        <v>317</v>
      </c>
      <c r="T119" s="150"/>
      <c r="U119" s="145">
        <f t="shared" si="0"/>
        <v>0</v>
      </c>
      <c r="V119" s="151">
        <f t="shared" si="1"/>
        <v>0</v>
      </c>
      <c r="W119" s="147"/>
      <c r="X119" s="145"/>
      <c r="Y119" s="146"/>
      <c r="Z119" s="145"/>
      <c r="AA119" s="152"/>
      <c r="AB119" s="146"/>
      <c r="AC119" s="145"/>
      <c r="AD119" s="153"/>
      <c r="AE119" s="157"/>
      <c r="AF119" s="155"/>
    </row>
    <row r="120" s="10" customFormat="1" ht="14.15" customHeight="1" spans="1:32">
      <c r="A120" s="145"/>
      <c r="B120" s="145"/>
      <c r="C120" s="145"/>
      <c r="D120" s="145"/>
      <c r="E120" s="145"/>
      <c r="F120" s="146"/>
      <c r="G120" s="146"/>
      <c r="H120" s="147"/>
      <c r="I120" s="147"/>
      <c r="J120" s="145"/>
      <c r="K120" s="146"/>
      <c r="L120" s="145"/>
      <c r="M120" s="145"/>
      <c r="N120" s="145"/>
      <c r="O120" s="148" t="s">
        <v>318</v>
      </c>
      <c r="P120" s="145"/>
      <c r="Q120" s="145"/>
      <c r="R120" s="149"/>
      <c r="S120" s="150" t="s">
        <v>319</v>
      </c>
      <c r="T120" s="150"/>
      <c r="U120" s="145">
        <f t="shared" si="0"/>
        <v>0</v>
      </c>
      <c r="V120" s="151">
        <f t="shared" si="1"/>
        <v>0</v>
      </c>
      <c r="W120" s="147"/>
      <c r="X120" s="145"/>
      <c r="Y120" s="146"/>
      <c r="Z120" s="145"/>
      <c r="AA120" s="152"/>
      <c r="AB120" s="146"/>
      <c r="AC120" s="145"/>
      <c r="AD120" s="153"/>
      <c r="AE120" s="154" t="s">
        <v>205</v>
      </c>
      <c r="AF120" s="155"/>
    </row>
    <row r="121" s="10" customFormat="1" ht="14.15" customHeight="1" spans="1:32">
      <c r="A121" s="145"/>
      <c r="B121" s="145"/>
      <c r="C121" s="145"/>
      <c r="D121" s="145"/>
      <c r="E121" s="145"/>
      <c r="F121" s="146"/>
      <c r="G121" s="146"/>
      <c r="H121" s="147"/>
      <c r="I121" s="147"/>
      <c r="J121" s="145"/>
      <c r="K121" s="146"/>
      <c r="L121" s="145"/>
      <c r="M121" s="145"/>
      <c r="N121" s="145"/>
      <c r="O121" s="148" t="s">
        <v>320</v>
      </c>
      <c r="P121" s="145"/>
      <c r="Q121" s="145"/>
      <c r="R121" s="149"/>
      <c r="S121" s="150" t="s">
        <v>321</v>
      </c>
      <c r="T121" s="150"/>
      <c r="U121" s="145">
        <f t="shared" si="0"/>
        <v>0</v>
      </c>
      <c r="V121" s="151">
        <f t="shared" si="1"/>
        <v>0</v>
      </c>
      <c r="W121" s="147"/>
      <c r="X121" s="145"/>
      <c r="Y121" s="146"/>
      <c r="Z121" s="145"/>
      <c r="AA121" s="152"/>
      <c r="AB121" s="146"/>
      <c r="AC121" s="145"/>
      <c r="AD121" s="153"/>
      <c r="AE121" s="157"/>
      <c r="AF121" s="155"/>
    </row>
    <row r="122" s="10" customFormat="1" ht="14.15" customHeight="1" spans="1:32">
      <c r="A122" s="145"/>
      <c r="B122" s="145" t="s">
        <v>322</v>
      </c>
      <c r="C122" s="145" t="s">
        <v>194</v>
      </c>
      <c r="D122" s="145"/>
      <c r="E122" s="145"/>
      <c r="F122" s="146">
        <f>E122/2500</f>
        <v>0</v>
      </c>
      <c r="G122" s="146"/>
      <c r="H122" s="147" t="s">
        <v>195</v>
      </c>
      <c r="I122" s="147"/>
      <c r="J122" s="145"/>
      <c r="K122" s="146"/>
      <c r="L122" s="145"/>
      <c r="M122" s="145"/>
      <c r="N122" s="145"/>
      <c r="O122" s="148" t="s">
        <v>323</v>
      </c>
      <c r="P122" s="145"/>
      <c r="Q122" s="145"/>
      <c r="R122" s="149"/>
      <c r="S122" s="150" t="s">
        <v>324</v>
      </c>
      <c r="T122" s="150"/>
      <c r="U122" s="145">
        <f t="shared" si="0"/>
        <v>0</v>
      </c>
      <c r="V122" s="151">
        <f t="shared" si="1"/>
        <v>0</v>
      </c>
      <c r="W122" s="147"/>
      <c r="X122" s="145"/>
      <c r="Y122" s="146"/>
      <c r="Z122" s="145"/>
      <c r="AA122" s="152"/>
      <c r="AB122" s="146"/>
      <c r="AC122" s="145"/>
      <c r="AD122" s="153"/>
      <c r="AE122" s="154"/>
      <c r="AF122" s="155"/>
    </row>
    <row r="123" s="10" customFormat="1" ht="14.15" customHeight="1" spans="1:32">
      <c r="A123" s="145"/>
      <c r="B123" s="145"/>
      <c r="C123" s="145"/>
      <c r="D123" s="145"/>
      <c r="E123" s="145"/>
      <c r="F123" s="146"/>
      <c r="G123" s="146"/>
      <c r="H123" s="147"/>
      <c r="I123" s="147"/>
      <c r="J123" s="145"/>
      <c r="K123" s="146"/>
      <c r="L123" s="145"/>
      <c r="M123" s="145"/>
      <c r="N123" s="145"/>
      <c r="O123" s="148" t="s">
        <v>325</v>
      </c>
      <c r="P123" s="145"/>
      <c r="Q123" s="145"/>
      <c r="R123" s="149"/>
      <c r="S123" s="150" t="s">
        <v>326</v>
      </c>
      <c r="T123" s="150"/>
      <c r="U123" s="145">
        <f t="shared" si="0"/>
        <v>0</v>
      </c>
      <c r="V123" s="151">
        <f t="shared" si="1"/>
        <v>0</v>
      </c>
      <c r="W123" s="147"/>
      <c r="X123" s="145"/>
      <c r="Y123" s="146"/>
      <c r="Z123" s="145"/>
      <c r="AA123" s="152"/>
      <c r="AB123" s="146"/>
      <c r="AC123" s="145"/>
      <c r="AD123" s="153"/>
      <c r="AE123" s="156"/>
      <c r="AF123" s="155"/>
    </row>
    <row r="124" s="10" customFormat="1" ht="14.15" customHeight="1" spans="1:32">
      <c r="A124" s="145"/>
      <c r="B124" s="145"/>
      <c r="C124" s="145"/>
      <c r="D124" s="145"/>
      <c r="E124" s="145"/>
      <c r="F124" s="146"/>
      <c r="G124" s="146"/>
      <c r="H124" s="147"/>
      <c r="I124" s="147"/>
      <c r="J124" s="145"/>
      <c r="K124" s="146"/>
      <c r="L124" s="145"/>
      <c r="M124" s="145"/>
      <c r="N124" s="145"/>
      <c r="O124" s="148" t="s">
        <v>327</v>
      </c>
      <c r="P124" s="145"/>
      <c r="Q124" s="145"/>
      <c r="R124" s="149"/>
      <c r="S124" s="150" t="s">
        <v>328</v>
      </c>
      <c r="T124" s="150"/>
      <c r="U124" s="145">
        <f t="shared" si="0"/>
        <v>0</v>
      </c>
      <c r="V124" s="151">
        <f t="shared" si="1"/>
        <v>0</v>
      </c>
      <c r="W124" s="147"/>
      <c r="X124" s="145"/>
      <c r="Y124" s="146"/>
      <c r="Z124" s="145"/>
      <c r="AA124" s="152"/>
      <c r="AB124" s="146"/>
      <c r="AC124" s="145"/>
      <c r="AD124" s="153"/>
      <c r="AE124" s="157"/>
      <c r="AF124" s="155"/>
    </row>
    <row r="125" s="10" customFormat="1" ht="14.15" customHeight="1" spans="1:32">
      <c r="A125" s="145"/>
      <c r="B125" s="145"/>
      <c r="C125" s="145"/>
      <c r="D125" s="145"/>
      <c r="E125" s="145"/>
      <c r="F125" s="146"/>
      <c r="G125" s="146"/>
      <c r="H125" s="147"/>
      <c r="I125" s="147"/>
      <c r="J125" s="145"/>
      <c r="K125" s="146"/>
      <c r="L125" s="145"/>
      <c r="M125" s="145"/>
      <c r="N125" s="145"/>
      <c r="O125" s="148" t="s">
        <v>329</v>
      </c>
      <c r="P125" s="145"/>
      <c r="Q125" s="145"/>
      <c r="R125" s="149"/>
      <c r="S125" s="150" t="s">
        <v>330</v>
      </c>
      <c r="T125" s="150"/>
      <c r="U125" s="145">
        <f t="shared" si="0"/>
        <v>0</v>
      </c>
      <c r="V125" s="151">
        <f t="shared" si="1"/>
        <v>0</v>
      </c>
      <c r="W125" s="147"/>
      <c r="X125" s="145"/>
      <c r="Y125" s="146"/>
      <c r="Z125" s="145"/>
      <c r="AA125" s="152"/>
      <c r="AB125" s="146"/>
      <c r="AC125" s="145"/>
      <c r="AD125" s="153"/>
      <c r="AE125" s="154" t="s">
        <v>217</v>
      </c>
      <c r="AF125" s="155"/>
    </row>
    <row r="126" s="10" customFormat="1" ht="14.15" customHeight="1" spans="1:32">
      <c r="A126" s="145"/>
      <c r="B126" s="145"/>
      <c r="C126" s="145"/>
      <c r="D126" s="145"/>
      <c r="E126" s="145"/>
      <c r="F126" s="146"/>
      <c r="G126" s="146"/>
      <c r="H126" s="147"/>
      <c r="I126" s="147"/>
      <c r="J126" s="145"/>
      <c r="K126" s="146"/>
      <c r="L126" s="145"/>
      <c r="M126" s="145"/>
      <c r="N126" s="145"/>
      <c r="O126" s="148" t="s">
        <v>331</v>
      </c>
      <c r="P126" s="145"/>
      <c r="Q126" s="145"/>
      <c r="R126" s="149"/>
      <c r="S126" s="150" t="s">
        <v>332</v>
      </c>
      <c r="T126" s="150"/>
      <c r="U126" s="145">
        <f t="shared" si="0"/>
        <v>0</v>
      </c>
      <c r="V126" s="151">
        <f t="shared" si="1"/>
        <v>0</v>
      </c>
      <c r="W126" s="147"/>
      <c r="X126" s="145"/>
      <c r="Y126" s="146"/>
      <c r="Z126" s="145"/>
      <c r="AA126" s="152"/>
      <c r="AB126" s="146"/>
      <c r="AC126" s="145"/>
      <c r="AD126" s="153"/>
      <c r="AE126" s="157"/>
      <c r="AF126" s="155"/>
    </row>
    <row r="127" s="10" customFormat="1" ht="14.15" customHeight="1" spans="1:32">
      <c r="A127" s="145" t="s">
        <v>333</v>
      </c>
      <c r="B127" s="145" t="s">
        <v>334</v>
      </c>
      <c r="C127" s="145" t="s">
        <v>194</v>
      </c>
      <c r="D127" s="145"/>
      <c r="E127" s="145"/>
      <c r="F127" s="146">
        <f>E127/2500</f>
        <v>0</v>
      </c>
      <c r="G127" s="146"/>
      <c r="H127" s="147" t="s">
        <v>195</v>
      </c>
      <c r="I127" s="147" t="s">
        <v>335</v>
      </c>
      <c r="J127" s="145"/>
      <c r="K127" s="146">
        <f>J127/300</f>
        <v>0</v>
      </c>
      <c r="L127" s="145" t="s">
        <v>194</v>
      </c>
      <c r="M127" s="145"/>
      <c r="N127" s="145"/>
      <c r="O127" s="148" t="s">
        <v>336</v>
      </c>
      <c r="P127" s="145"/>
      <c r="Q127" s="145"/>
      <c r="R127" s="149"/>
      <c r="S127" s="150" t="s">
        <v>337</v>
      </c>
      <c r="T127" s="150"/>
      <c r="U127" s="145">
        <f t="shared" si="0"/>
        <v>0</v>
      </c>
      <c r="V127" s="151">
        <f t="shared" si="1"/>
        <v>0</v>
      </c>
      <c r="W127" s="147">
        <v>401</v>
      </c>
      <c r="X127" s="145">
        <f>SUM(U127:U136)</f>
        <v>0</v>
      </c>
      <c r="Y127" s="146">
        <f>X127/2150</f>
        <v>0</v>
      </c>
      <c r="Z127" s="145">
        <v>170</v>
      </c>
      <c r="AA127" s="152" t="s">
        <v>338</v>
      </c>
      <c r="AB127" s="146">
        <f>AA127/Z127</f>
        <v>1</v>
      </c>
      <c r="AC127" s="145" t="s">
        <v>225</v>
      </c>
      <c r="AD127" s="153">
        <f>20-AC127</f>
        <v>20</v>
      </c>
      <c r="AE127" s="154"/>
      <c r="AF127" s="155"/>
    </row>
    <row r="128" s="10" customFormat="1" ht="14.15" customHeight="1" spans="1:32">
      <c r="A128" s="145"/>
      <c r="B128" s="145"/>
      <c r="C128" s="145"/>
      <c r="D128" s="145"/>
      <c r="E128" s="145"/>
      <c r="F128" s="146"/>
      <c r="G128" s="146"/>
      <c r="H128" s="147"/>
      <c r="I128" s="147"/>
      <c r="J128" s="145"/>
      <c r="K128" s="146"/>
      <c r="L128" s="145"/>
      <c r="M128" s="145"/>
      <c r="N128" s="145"/>
      <c r="O128" s="148" t="s">
        <v>339</v>
      </c>
      <c r="P128" s="145"/>
      <c r="Q128" s="145"/>
      <c r="R128" s="149"/>
      <c r="S128" s="150" t="s">
        <v>340</v>
      </c>
      <c r="T128" s="150"/>
      <c r="U128" s="145">
        <f t="shared" si="0"/>
        <v>0</v>
      </c>
      <c r="V128" s="151">
        <f t="shared" si="1"/>
        <v>0</v>
      </c>
      <c r="W128" s="147"/>
      <c r="X128" s="145"/>
      <c r="Y128" s="146"/>
      <c r="Z128" s="145"/>
      <c r="AA128" s="152"/>
      <c r="AB128" s="146"/>
      <c r="AC128" s="145"/>
      <c r="AD128" s="153"/>
      <c r="AE128" s="156"/>
      <c r="AF128" s="155"/>
    </row>
    <row r="129" s="10" customFormat="1" ht="14.15" customHeight="1" spans="1:32">
      <c r="A129" s="145"/>
      <c r="B129" s="145"/>
      <c r="C129" s="145"/>
      <c r="D129" s="145"/>
      <c r="E129" s="145"/>
      <c r="F129" s="146"/>
      <c r="G129" s="146"/>
      <c r="H129" s="147"/>
      <c r="I129" s="147"/>
      <c r="J129" s="145"/>
      <c r="K129" s="146"/>
      <c r="L129" s="145"/>
      <c r="M129" s="145"/>
      <c r="N129" s="145"/>
      <c r="O129" s="148" t="s">
        <v>341</v>
      </c>
      <c r="P129" s="145"/>
      <c r="Q129" s="145"/>
      <c r="R129" s="149"/>
      <c r="S129" s="150" t="s">
        <v>342</v>
      </c>
      <c r="T129" s="150"/>
      <c r="U129" s="145">
        <f t="shared" si="0"/>
        <v>0</v>
      </c>
      <c r="V129" s="151">
        <f t="shared" si="1"/>
        <v>0</v>
      </c>
      <c r="W129" s="147"/>
      <c r="X129" s="145"/>
      <c r="Y129" s="146"/>
      <c r="Z129" s="145"/>
      <c r="AA129" s="152"/>
      <c r="AB129" s="146"/>
      <c r="AC129" s="145"/>
      <c r="AD129" s="153"/>
      <c r="AE129" s="157"/>
      <c r="AF129" s="155"/>
    </row>
    <row r="130" s="10" customFormat="1" ht="14.15" customHeight="1" spans="1:32">
      <c r="A130" s="145"/>
      <c r="B130" s="145"/>
      <c r="C130" s="145"/>
      <c r="D130" s="145"/>
      <c r="E130" s="145"/>
      <c r="F130" s="146"/>
      <c r="G130" s="146"/>
      <c r="H130" s="147"/>
      <c r="I130" s="147"/>
      <c r="J130" s="145"/>
      <c r="K130" s="146"/>
      <c r="L130" s="145"/>
      <c r="M130" s="145"/>
      <c r="N130" s="145"/>
      <c r="O130" s="148" t="s">
        <v>343</v>
      </c>
      <c r="P130" s="145"/>
      <c r="Q130" s="145"/>
      <c r="R130" s="149"/>
      <c r="S130" s="150" t="s">
        <v>344</v>
      </c>
      <c r="T130" s="150"/>
      <c r="U130" s="145">
        <f t="shared" si="0"/>
        <v>0</v>
      </c>
      <c r="V130" s="151">
        <f t="shared" si="1"/>
        <v>0</v>
      </c>
      <c r="W130" s="147"/>
      <c r="X130" s="145"/>
      <c r="Y130" s="146"/>
      <c r="Z130" s="145"/>
      <c r="AA130" s="152"/>
      <c r="AB130" s="146"/>
      <c r="AC130" s="145"/>
      <c r="AD130" s="153"/>
      <c r="AE130" s="154" t="s">
        <v>205</v>
      </c>
      <c r="AF130" s="155"/>
    </row>
    <row r="131" s="10" customFormat="1" ht="14.15" customHeight="1" spans="1:32">
      <c r="A131" s="145"/>
      <c r="B131" s="145"/>
      <c r="C131" s="145"/>
      <c r="D131" s="145"/>
      <c r="E131" s="145"/>
      <c r="F131" s="146"/>
      <c r="G131" s="146"/>
      <c r="H131" s="147"/>
      <c r="I131" s="147"/>
      <c r="J131" s="145"/>
      <c r="K131" s="146"/>
      <c r="L131" s="145"/>
      <c r="M131" s="145"/>
      <c r="N131" s="145"/>
      <c r="O131" s="148" t="s">
        <v>345</v>
      </c>
      <c r="P131" s="145"/>
      <c r="Q131" s="145"/>
      <c r="R131" s="149"/>
      <c r="S131" s="150" t="s">
        <v>346</v>
      </c>
      <c r="T131" s="150"/>
      <c r="U131" s="145">
        <f t="shared" si="0"/>
        <v>0</v>
      </c>
      <c r="V131" s="151">
        <f t="shared" si="1"/>
        <v>0</v>
      </c>
      <c r="W131" s="147"/>
      <c r="X131" s="145"/>
      <c r="Y131" s="146"/>
      <c r="Z131" s="145"/>
      <c r="AA131" s="152"/>
      <c r="AB131" s="146"/>
      <c r="AC131" s="145"/>
      <c r="AD131" s="153"/>
      <c r="AE131" s="157"/>
      <c r="AF131" s="155"/>
    </row>
    <row r="132" s="10" customFormat="1" ht="14.15" customHeight="1" spans="1:32">
      <c r="A132" s="145"/>
      <c r="B132" s="145" t="s">
        <v>347</v>
      </c>
      <c r="C132" s="145" t="s">
        <v>194</v>
      </c>
      <c r="D132" s="145"/>
      <c r="E132" s="145"/>
      <c r="F132" s="146">
        <f>E132/2500</f>
        <v>0</v>
      </c>
      <c r="G132" s="146"/>
      <c r="H132" s="147" t="s">
        <v>195</v>
      </c>
      <c r="I132" s="147"/>
      <c r="J132" s="145"/>
      <c r="K132" s="146"/>
      <c r="L132" s="145"/>
      <c r="M132" s="145"/>
      <c r="N132" s="145"/>
      <c r="O132" s="148" t="s">
        <v>348</v>
      </c>
      <c r="P132" s="145"/>
      <c r="Q132" s="145"/>
      <c r="R132" s="149"/>
      <c r="S132" s="150" t="s">
        <v>349</v>
      </c>
      <c r="T132" s="150"/>
      <c r="U132" s="145">
        <f t="shared" si="0"/>
        <v>0</v>
      </c>
      <c r="V132" s="151">
        <f t="shared" si="1"/>
        <v>0</v>
      </c>
      <c r="W132" s="147"/>
      <c r="X132" s="145"/>
      <c r="Y132" s="146"/>
      <c r="Z132" s="145"/>
      <c r="AA132" s="152"/>
      <c r="AB132" s="146"/>
      <c r="AC132" s="145"/>
      <c r="AD132" s="153"/>
      <c r="AE132" s="154"/>
      <c r="AF132" s="155"/>
    </row>
    <row r="133" s="10" customFormat="1" ht="14.15" customHeight="1" spans="1:32">
      <c r="A133" s="145"/>
      <c r="B133" s="145"/>
      <c r="C133" s="145"/>
      <c r="D133" s="145"/>
      <c r="E133" s="145"/>
      <c r="F133" s="146"/>
      <c r="G133" s="146"/>
      <c r="H133" s="147"/>
      <c r="I133" s="147"/>
      <c r="J133" s="145"/>
      <c r="K133" s="146"/>
      <c r="L133" s="145"/>
      <c r="M133" s="145"/>
      <c r="N133" s="145"/>
      <c r="O133" s="148" t="s">
        <v>350</v>
      </c>
      <c r="P133" s="145"/>
      <c r="Q133" s="145"/>
      <c r="R133" s="149"/>
      <c r="S133" s="150" t="s">
        <v>351</v>
      </c>
      <c r="T133" s="150"/>
      <c r="U133" s="145">
        <f t="shared" ref="U133:U136" si="2">R133*0.935</f>
        <v>0</v>
      </c>
      <c r="V133" s="151">
        <f t="shared" ref="V133:V136" si="3">U133/215</f>
        <v>0</v>
      </c>
      <c r="W133" s="147"/>
      <c r="X133" s="145"/>
      <c r="Y133" s="146"/>
      <c r="Z133" s="145"/>
      <c r="AA133" s="152"/>
      <c r="AB133" s="146"/>
      <c r="AC133" s="145"/>
      <c r="AD133" s="153"/>
      <c r="AE133" s="156"/>
      <c r="AF133" s="155"/>
    </row>
    <row r="134" s="10" customFormat="1" ht="14.15" customHeight="1" spans="1:32">
      <c r="A134" s="145"/>
      <c r="B134" s="145"/>
      <c r="C134" s="145"/>
      <c r="D134" s="145"/>
      <c r="E134" s="145"/>
      <c r="F134" s="146"/>
      <c r="G134" s="146"/>
      <c r="H134" s="147"/>
      <c r="I134" s="147"/>
      <c r="J134" s="145"/>
      <c r="K134" s="146"/>
      <c r="L134" s="145"/>
      <c r="M134" s="145"/>
      <c r="N134" s="145"/>
      <c r="O134" s="148" t="s">
        <v>352</v>
      </c>
      <c r="P134" s="145"/>
      <c r="Q134" s="145"/>
      <c r="R134" s="149"/>
      <c r="S134" s="150" t="s">
        <v>353</v>
      </c>
      <c r="T134" s="150"/>
      <c r="U134" s="145">
        <f t="shared" si="2"/>
        <v>0</v>
      </c>
      <c r="V134" s="151">
        <f t="shared" si="3"/>
        <v>0</v>
      </c>
      <c r="W134" s="147"/>
      <c r="X134" s="145"/>
      <c r="Y134" s="146"/>
      <c r="Z134" s="145"/>
      <c r="AA134" s="152"/>
      <c r="AB134" s="146"/>
      <c r="AC134" s="145"/>
      <c r="AD134" s="153"/>
      <c r="AE134" s="157"/>
      <c r="AF134" s="155"/>
    </row>
    <row r="135" s="10" customFormat="1" ht="14.15" customHeight="1" spans="1:32">
      <c r="A135" s="145"/>
      <c r="B135" s="145"/>
      <c r="C135" s="145"/>
      <c r="D135" s="145"/>
      <c r="E135" s="145"/>
      <c r="F135" s="146"/>
      <c r="G135" s="146"/>
      <c r="H135" s="147"/>
      <c r="I135" s="147"/>
      <c r="J135" s="145"/>
      <c r="K135" s="146"/>
      <c r="L135" s="145"/>
      <c r="M135" s="145"/>
      <c r="N135" s="145"/>
      <c r="O135" s="148" t="s">
        <v>354</v>
      </c>
      <c r="P135" s="145"/>
      <c r="Q135" s="145"/>
      <c r="R135" s="149"/>
      <c r="S135" s="150" t="s">
        <v>355</v>
      </c>
      <c r="T135" s="150"/>
      <c r="U135" s="145">
        <f t="shared" si="2"/>
        <v>0</v>
      </c>
      <c r="V135" s="151">
        <f t="shared" si="3"/>
        <v>0</v>
      </c>
      <c r="W135" s="147"/>
      <c r="X135" s="145"/>
      <c r="Y135" s="146"/>
      <c r="Z135" s="145"/>
      <c r="AA135" s="152"/>
      <c r="AB135" s="146"/>
      <c r="AC135" s="145"/>
      <c r="AD135" s="153"/>
      <c r="AE135" s="154" t="s">
        <v>217</v>
      </c>
      <c r="AF135" s="155"/>
    </row>
    <row r="136" s="10" customFormat="1" ht="14.15" customHeight="1" spans="1:32">
      <c r="A136" s="145"/>
      <c r="B136" s="145"/>
      <c r="C136" s="145"/>
      <c r="D136" s="145"/>
      <c r="E136" s="145"/>
      <c r="F136" s="146"/>
      <c r="G136" s="146"/>
      <c r="H136" s="147"/>
      <c r="I136" s="147"/>
      <c r="J136" s="145"/>
      <c r="K136" s="146"/>
      <c r="L136" s="145"/>
      <c r="M136" s="145"/>
      <c r="N136" s="145"/>
      <c r="O136" s="148" t="s">
        <v>356</v>
      </c>
      <c r="P136" s="145"/>
      <c r="Q136" s="145"/>
      <c r="R136" s="149"/>
      <c r="S136" s="150" t="s">
        <v>357</v>
      </c>
      <c r="T136" s="150"/>
      <c r="U136" s="145">
        <f t="shared" si="2"/>
        <v>0</v>
      </c>
      <c r="V136" s="151">
        <f t="shared" si="3"/>
        <v>0</v>
      </c>
      <c r="W136" s="147"/>
      <c r="X136" s="145"/>
      <c r="Y136" s="146"/>
      <c r="Z136" s="145"/>
      <c r="AA136" s="152"/>
      <c r="AB136" s="146"/>
      <c r="AC136" s="145"/>
      <c r="AD136" s="153"/>
      <c r="AE136" s="157"/>
      <c r="AF136" s="155"/>
    </row>
    <row r="137" s="10" customFormat="1" ht="16.5" customHeight="1" spans="1:32">
      <c r="A137" s="145" t="s">
        <v>358</v>
      </c>
      <c r="B137" s="145" t="s">
        <v>359</v>
      </c>
      <c r="C137" s="145" t="s">
        <v>194</v>
      </c>
      <c r="D137" s="145"/>
      <c r="E137" s="145"/>
      <c r="F137" s="146">
        <f>E137/2500</f>
        <v>0</v>
      </c>
      <c r="G137" s="146"/>
      <c r="H137" s="147" t="s">
        <v>195</v>
      </c>
      <c r="I137" s="147" t="s">
        <v>360</v>
      </c>
      <c r="J137" s="160"/>
      <c r="K137" s="146">
        <f>J137/300</f>
        <v>0</v>
      </c>
      <c r="L137" s="145" t="s">
        <v>194</v>
      </c>
      <c r="M137" s="145"/>
      <c r="N137" s="14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</row>
    <row r="138" s="10" customFormat="1" ht="16.5" customHeight="1" spans="1:32">
      <c r="A138" s="145"/>
      <c r="B138" s="145"/>
      <c r="C138" s="145"/>
      <c r="D138" s="145"/>
      <c r="E138" s="145"/>
      <c r="F138" s="146"/>
      <c r="G138" s="146"/>
      <c r="H138" s="147"/>
      <c r="I138" s="147"/>
      <c r="J138" s="160"/>
      <c r="K138" s="146"/>
      <c r="L138" s="145"/>
      <c r="M138" s="145"/>
      <c r="N138" s="14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</row>
    <row r="139" s="10" customFormat="1" ht="16.5" customHeight="1" spans="1:32">
      <c r="A139" s="145"/>
      <c r="B139" s="145"/>
      <c r="C139" s="145"/>
      <c r="D139" s="145"/>
      <c r="E139" s="145"/>
      <c r="F139" s="146"/>
      <c r="G139" s="146"/>
      <c r="H139" s="147"/>
      <c r="I139" s="147"/>
      <c r="J139" s="160"/>
      <c r="K139" s="146"/>
      <c r="L139" s="145"/>
      <c r="M139" s="145"/>
      <c r="N139" s="14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</row>
    <row r="140" s="10" customFormat="1" ht="16.5" customHeight="1" spans="1:32">
      <c r="A140" s="145"/>
      <c r="B140" s="145"/>
      <c r="C140" s="145"/>
      <c r="D140" s="145"/>
      <c r="E140" s="145"/>
      <c r="F140" s="146"/>
      <c r="G140" s="146"/>
      <c r="H140" s="147"/>
      <c r="I140" s="147"/>
      <c r="J140" s="160"/>
      <c r="K140" s="146"/>
      <c r="L140" s="145"/>
      <c r="M140" s="145"/>
      <c r="N140" s="14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</row>
    <row r="141" s="10" customFormat="1" ht="16.5" customHeight="1" spans="1:32">
      <c r="A141" s="145"/>
      <c r="B141" s="145"/>
      <c r="C141" s="145"/>
      <c r="D141" s="145"/>
      <c r="E141" s="145"/>
      <c r="F141" s="146"/>
      <c r="G141" s="146"/>
      <c r="H141" s="147"/>
      <c r="I141" s="147"/>
      <c r="J141" s="160"/>
      <c r="K141" s="146"/>
      <c r="L141" s="145"/>
      <c r="M141" s="145"/>
      <c r="N141" s="14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</row>
    <row r="142" s="10" customFormat="1" ht="16.5" customHeight="1" spans="1:32">
      <c r="A142" s="145"/>
      <c r="B142" s="145" t="s">
        <v>361</v>
      </c>
      <c r="C142" s="145" t="s">
        <v>194</v>
      </c>
      <c r="D142" s="145"/>
      <c r="E142" s="145"/>
      <c r="F142" s="146">
        <f>E142/2500</f>
        <v>0</v>
      </c>
      <c r="G142" s="146"/>
      <c r="H142" s="147" t="s">
        <v>195</v>
      </c>
      <c r="I142" s="147" t="s">
        <v>362</v>
      </c>
      <c r="J142" s="145"/>
      <c r="K142" s="146">
        <f>J142/400</f>
        <v>0</v>
      </c>
      <c r="L142" s="145"/>
      <c r="M142" s="145"/>
      <c r="N142" s="14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</row>
    <row r="143" s="10" customFormat="1" ht="16.5" customHeight="1" spans="1:32">
      <c r="A143" s="145"/>
      <c r="B143" s="145"/>
      <c r="C143" s="145"/>
      <c r="D143" s="145"/>
      <c r="E143" s="145"/>
      <c r="F143" s="146"/>
      <c r="G143" s="146"/>
      <c r="H143" s="147"/>
      <c r="I143" s="147"/>
      <c r="J143" s="145"/>
      <c r="K143" s="146"/>
      <c r="L143" s="145"/>
      <c r="M143" s="145"/>
      <c r="N143" s="14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</row>
    <row r="144" s="10" customFormat="1" ht="16.5" customHeight="1" spans="1:32">
      <c r="A144" s="145"/>
      <c r="B144" s="145"/>
      <c r="C144" s="145"/>
      <c r="D144" s="145"/>
      <c r="E144" s="145"/>
      <c r="F144" s="146"/>
      <c r="G144" s="146"/>
      <c r="H144" s="147"/>
      <c r="I144" s="147"/>
      <c r="J144" s="145"/>
      <c r="K144" s="146"/>
      <c r="L144" s="145"/>
      <c r="M144" s="145"/>
      <c r="N144" s="14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</row>
    <row r="145" s="10" customFormat="1" ht="16.5" customHeight="1" spans="1:33">
      <c r="A145" s="145"/>
      <c r="B145" s="145"/>
      <c r="C145" s="145"/>
      <c r="D145" s="145"/>
      <c r="E145" s="145"/>
      <c r="F145" s="146"/>
      <c r="G145" s="146"/>
      <c r="H145" s="147"/>
      <c r="I145" s="147"/>
      <c r="J145" s="145"/>
      <c r="K145" s="146"/>
      <c r="L145" s="145"/>
      <c r="M145" s="145"/>
      <c r="N145" s="14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</row>
    <row r="146" s="10" customFormat="1" ht="16.5" customHeight="1" spans="1:33">
      <c r="A146" s="145"/>
      <c r="B146" s="145"/>
      <c r="C146" s="145"/>
      <c r="D146" s="145"/>
      <c r="E146" s="145"/>
      <c r="F146" s="146"/>
      <c r="G146" s="146"/>
      <c r="H146" s="147"/>
      <c r="I146" s="147"/>
      <c r="J146" s="145"/>
      <c r="K146" s="146"/>
      <c r="L146" s="145"/>
      <c r="M146" s="145"/>
      <c r="N146" s="14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</row>
    <row r="147" s="10" customFormat="1" ht="16.5" customHeight="1" spans="1:33">
      <c r="A147" s="154" t="s">
        <v>363</v>
      </c>
      <c r="B147" s="145" t="s">
        <v>364</v>
      </c>
      <c r="C147" s="145" t="s">
        <v>194</v>
      </c>
      <c r="D147" s="145"/>
      <c r="E147" s="145"/>
      <c r="F147" s="146">
        <f>E147/2500</f>
        <v>0</v>
      </c>
      <c r="G147" s="146"/>
      <c r="H147" s="147" t="s">
        <v>195</v>
      </c>
      <c r="I147" s="147" t="s">
        <v>365</v>
      </c>
      <c r="J147" s="145"/>
      <c r="K147" s="146">
        <f>J147/300</f>
        <v>0</v>
      </c>
      <c r="L147" s="154" t="s">
        <v>194</v>
      </c>
      <c r="M147" s="145"/>
      <c r="N147" s="14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</row>
    <row r="148" s="10" customFormat="1" ht="16.5" customHeight="1" spans="1:33">
      <c r="A148" s="156"/>
      <c r="B148" s="145"/>
      <c r="C148" s="145"/>
      <c r="D148" s="145"/>
      <c r="E148" s="145"/>
      <c r="F148" s="146"/>
      <c r="G148" s="146"/>
      <c r="H148" s="147"/>
      <c r="I148" s="147"/>
      <c r="J148" s="145"/>
      <c r="K148" s="146"/>
      <c r="L148" s="156"/>
      <c r="M148" s="145"/>
      <c r="N148" s="14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</row>
    <row r="149" s="10" customFormat="1" ht="16.5" customHeight="1" spans="1:33">
      <c r="A149" s="156"/>
      <c r="B149" s="145"/>
      <c r="C149" s="145"/>
      <c r="D149" s="145"/>
      <c r="E149" s="145"/>
      <c r="F149" s="146"/>
      <c r="G149" s="146"/>
      <c r="H149" s="147"/>
      <c r="I149" s="147"/>
      <c r="J149" s="145"/>
      <c r="K149" s="146"/>
      <c r="L149" s="156"/>
      <c r="M149" s="145"/>
      <c r="N149" s="14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</row>
    <row r="150" s="10" customFormat="1" ht="16.5" customHeight="1" spans="1:33">
      <c r="A150" s="156"/>
      <c r="B150" s="145"/>
      <c r="C150" s="145"/>
      <c r="D150" s="145"/>
      <c r="E150" s="145"/>
      <c r="F150" s="146"/>
      <c r="G150" s="146"/>
      <c r="H150" s="147"/>
      <c r="I150" s="147"/>
      <c r="J150" s="145"/>
      <c r="K150" s="146"/>
      <c r="L150" s="156"/>
      <c r="M150" s="145"/>
      <c r="N150" s="14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</row>
    <row r="151" s="10" customFormat="1" ht="16.5" customHeight="1" spans="1:33">
      <c r="A151" s="156"/>
      <c r="B151" s="145"/>
      <c r="C151" s="145"/>
      <c r="D151" s="145"/>
      <c r="E151" s="145"/>
      <c r="F151" s="146"/>
      <c r="G151" s="146"/>
      <c r="H151" s="147"/>
      <c r="I151" s="147"/>
      <c r="J151" s="145"/>
      <c r="K151" s="146"/>
      <c r="L151" s="156"/>
      <c r="M151" s="145"/>
      <c r="N151" s="14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</row>
    <row r="152" s="10" customFormat="1" ht="16.5" customHeight="1" spans="1:33">
      <c r="A152" s="156"/>
      <c r="B152" s="154" t="s">
        <v>366</v>
      </c>
      <c r="C152" s="154" t="s">
        <v>194</v>
      </c>
      <c r="D152" s="154"/>
      <c r="E152" s="154"/>
      <c r="F152" s="161">
        <f>E152/2500</f>
        <v>0</v>
      </c>
      <c r="G152" s="162"/>
      <c r="H152" s="163" t="s">
        <v>195</v>
      </c>
      <c r="I152" s="163" t="s">
        <v>367</v>
      </c>
      <c r="J152" s="154"/>
      <c r="K152" s="164">
        <f>J152/400</f>
        <v>0</v>
      </c>
      <c r="L152" s="156"/>
      <c r="M152" s="154"/>
      <c r="N152" s="154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</row>
    <row r="153" s="10" customFormat="1" ht="16.5" customHeight="1" spans="1:33">
      <c r="A153" s="156"/>
      <c r="B153" s="156"/>
      <c r="C153" s="156"/>
      <c r="D153" s="156"/>
      <c r="E153" s="156"/>
      <c r="F153" s="165"/>
      <c r="G153" s="166"/>
      <c r="H153" s="167"/>
      <c r="I153" s="167"/>
      <c r="J153" s="156"/>
      <c r="K153" s="168"/>
      <c r="L153" s="156"/>
      <c r="M153" s="156"/>
      <c r="N153" s="156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</row>
    <row r="154" s="10" customFormat="1" ht="16.5" customHeight="1" spans="1:33">
      <c r="A154" s="156"/>
      <c r="B154" s="156"/>
      <c r="C154" s="156"/>
      <c r="D154" s="156"/>
      <c r="E154" s="156"/>
      <c r="F154" s="165"/>
      <c r="G154" s="166"/>
      <c r="H154" s="167"/>
      <c r="I154" s="167"/>
      <c r="J154" s="156"/>
      <c r="K154" s="168"/>
      <c r="L154" s="156"/>
      <c r="M154" s="156"/>
      <c r="N154" s="156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</row>
    <row r="155" s="10" customFormat="1" ht="16.5" customHeight="1" spans="1:33">
      <c r="A155" s="156"/>
      <c r="B155" s="156"/>
      <c r="C155" s="156"/>
      <c r="D155" s="156"/>
      <c r="E155" s="156"/>
      <c r="F155" s="165"/>
      <c r="G155" s="166"/>
      <c r="H155" s="167"/>
      <c r="I155" s="167"/>
      <c r="J155" s="156"/>
      <c r="K155" s="168"/>
      <c r="L155" s="156"/>
      <c r="M155" s="156"/>
      <c r="N155" s="156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</row>
    <row r="156" s="10" customFormat="1" ht="16.5" customHeight="1" spans="1:33">
      <c r="A156" s="156"/>
      <c r="B156" s="156"/>
      <c r="C156" s="156"/>
      <c r="D156" s="156"/>
      <c r="E156" s="156"/>
      <c r="F156" s="165"/>
      <c r="G156" s="166"/>
      <c r="H156" s="167"/>
      <c r="I156" s="167"/>
      <c r="J156" s="156"/>
      <c r="K156" s="168"/>
      <c r="L156" s="156"/>
      <c r="M156" s="156"/>
      <c r="N156" s="156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</row>
    <row r="157" s="11" customFormat="1" ht="26" customHeight="1" spans="1:33">
      <c r="A157" s="169" t="s">
        <v>368</v>
      </c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="11" customFormat="1" ht="16.5" customHeight="1" spans="1:33">
      <c r="A158" s="171" t="s">
        <v>369</v>
      </c>
      <c r="B158" s="172" t="s">
        <v>370</v>
      </c>
      <c r="C158" s="173"/>
      <c r="D158" s="174"/>
      <c r="E158" s="172" t="s">
        <v>371</v>
      </c>
      <c r="F158" s="174"/>
      <c r="G158" s="172" t="s">
        <v>150</v>
      </c>
      <c r="H158" s="173"/>
      <c r="I158" s="175" t="s">
        <v>186</v>
      </c>
      <c r="J158" s="176" t="s">
        <v>187</v>
      </c>
      <c r="K158" s="177"/>
      <c r="L158" s="178" t="s">
        <v>188</v>
      </c>
      <c r="M158" s="178"/>
      <c r="N158" s="178" t="s">
        <v>191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 s="11" customFormat="1" ht="16.5" customHeight="1" spans="1:33">
      <c r="A159" s="154" t="s">
        <v>372</v>
      </c>
      <c r="B159" s="179" t="s">
        <v>373</v>
      </c>
      <c r="C159" s="180"/>
      <c r="D159" s="181"/>
      <c r="E159" s="179"/>
      <c r="F159" s="181"/>
      <c r="G159" s="182">
        <f t="shared" ref="G159:G178" si="4">E159/215</f>
        <v>0</v>
      </c>
      <c r="H159" s="183"/>
      <c r="I159" s="163" t="s">
        <v>374</v>
      </c>
      <c r="J159" s="184">
        <v>0</v>
      </c>
      <c r="K159" s="185"/>
      <c r="L159" s="186">
        <f>J159/I159</f>
        <v>0</v>
      </c>
      <c r="M159" s="187"/>
      <c r="N159" s="154" t="s">
        <v>225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 s="11" customFormat="1" ht="16.5" customHeight="1" spans="1:33">
      <c r="A160" s="156"/>
      <c r="B160" s="179" t="s">
        <v>375</v>
      </c>
      <c r="C160" s="180"/>
      <c r="D160" s="181"/>
      <c r="E160" s="179"/>
      <c r="F160" s="181"/>
      <c r="G160" s="182">
        <f t="shared" si="4"/>
        <v>0</v>
      </c>
      <c r="H160" s="183"/>
      <c r="I160" s="167"/>
      <c r="J160" s="188"/>
      <c r="K160" s="189"/>
      <c r="L160" s="190"/>
      <c r="M160" s="191"/>
      <c r="N160" s="156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 s="11" customFormat="1" ht="16.5" customHeight="1" spans="1:33">
      <c r="A161" s="156"/>
      <c r="B161" s="179" t="s">
        <v>376</v>
      </c>
      <c r="C161" s="180"/>
      <c r="D161" s="181"/>
      <c r="E161" s="179"/>
      <c r="F161" s="181"/>
      <c r="G161" s="182">
        <f t="shared" si="4"/>
        <v>0</v>
      </c>
      <c r="H161" s="183"/>
      <c r="I161" s="167"/>
      <c r="J161" s="188"/>
      <c r="K161" s="189"/>
      <c r="L161" s="190"/>
      <c r="M161" s="191"/>
      <c r="N161" s="156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 s="11" customFormat="1" ht="16.5" customHeight="1" spans="1:33">
      <c r="A162" s="156"/>
      <c r="B162" s="179" t="s">
        <v>377</v>
      </c>
      <c r="C162" s="180"/>
      <c r="D162" s="181"/>
      <c r="E162" s="179"/>
      <c r="F162" s="181"/>
      <c r="G162" s="182">
        <f t="shared" si="4"/>
        <v>0</v>
      </c>
      <c r="H162" s="183"/>
      <c r="I162" s="167"/>
      <c r="J162" s="188"/>
      <c r="K162" s="189"/>
      <c r="L162" s="190"/>
      <c r="M162" s="191"/>
      <c r="N162" s="156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="11" customFormat="1" ht="16.5" customHeight="1" spans="1:33">
      <c r="A163" s="156"/>
      <c r="B163" s="179" t="s">
        <v>378</v>
      </c>
      <c r="C163" s="180"/>
      <c r="D163" s="181"/>
      <c r="E163" s="179"/>
      <c r="F163" s="181"/>
      <c r="G163" s="182">
        <f t="shared" si="4"/>
        <v>0</v>
      </c>
      <c r="H163" s="183"/>
      <c r="I163" s="167"/>
      <c r="J163" s="188"/>
      <c r="K163" s="189"/>
      <c r="L163" s="190"/>
      <c r="M163" s="191"/>
      <c r="N163" s="156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="11" customFormat="1" ht="16.5" customHeight="1" spans="1:33">
      <c r="A164" s="156"/>
      <c r="B164" s="179" t="s">
        <v>379</v>
      </c>
      <c r="C164" s="180"/>
      <c r="D164" s="181"/>
      <c r="E164" s="179"/>
      <c r="F164" s="181"/>
      <c r="G164" s="182">
        <f t="shared" si="4"/>
        <v>0</v>
      </c>
      <c r="H164" s="183"/>
      <c r="I164" s="167"/>
      <c r="J164" s="188"/>
      <c r="K164" s="189"/>
      <c r="L164" s="190"/>
      <c r="M164" s="191"/>
      <c r="N164" s="156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="11" customFormat="1" ht="16.5" customHeight="1" spans="1:33">
      <c r="A165" s="156"/>
      <c r="B165" s="179" t="s">
        <v>380</v>
      </c>
      <c r="C165" s="180"/>
      <c r="D165" s="181"/>
      <c r="E165" s="179"/>
      <c r="F165" s="181"/>
      <c r="G165" s="182">
        <f t="shared" si="4"/>
        <v>0</v>
      </c>
      <c r="H165" s="183"/>
      <c r="I165" s="167"/>
      <c r="J165" s="188"/>
      <c r="K165" s="189"/>
      <c r="L165" s="190"/>
      <c r="M165" s="191"/>
      <c r="N165" s="156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="11" customFormat="1" ht="16.5" customHeight="1" spans="1:33">
      <c r="A166" s="157"/>
      <c r="B166" s="179" t="s">
        <v>381</v>
      </c>
      <c r="C166" s="180"/>
      <c r="D166" s="181"/>
      <c r="E166" s="179"/>
      <c r="F166" s="181"/>
      <c r="G166" s="182">
        <f t="shared" si="4"/>
        <v>0</v>
      </c>
      <c r="H166" s="183"/>
      <c r="I166" s="192"/>
      <c r="J166" s="188"/>
      <c r="K166" s="189"/>
      <c r="L166" s="193"/>
      <c r="M166" s="194"/>
      <c r="N166" s="157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="11" customFormat="1" ht="16.5" customHeight="1" spans="1:33">
      <c r="A167" s="145" t="s">
        <v>382</v>
      </c>
      <c r="B167" s="180" t="s">
        <v>383</v>
      </c>
      <c r="C167" s="180"/>
      <c r="D167" s="181"/>
      <c r="E167" s="179"/>
      <c r="F167" s="181"/>
      <c r="G167" s="182">
        <f t="shared" si="4"/>
        <v>0</v>
      </c>
      <c r="H167" s="183"/>
      <c r="I167" s="163" t="s">
        <v>374</v>
      </c>
      <c r="J167" s="184">
        <v>0</v>
      </c>
      <c r="K167" s="185"/>
      <c r="L167" s="186">
        <f>J167/I167</f>
        <v>0</v>
      </c>
      <c r="M167" s="187"/>
      <c r="N167" s="154" t="s">
        <v>225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="11" customFormat="1" ht="16.5" customHeight="1" spans="1:33">
      <c r="A168" s="145"/>
      <c r="B168" s="180" t="s">
        <v>384</v>
      </c>
      <c r="C168" s="180"/>
      <c r="D168" s="181"/>
      <c r="E168" s="179"/>
      <c r="F168" s="181"/>
      <c r="G168" s="182">
        <f t="shared" si="4"/>
        <v>0</v>
      </c>
      <c r="H168" s="183"/>
      <c r="I168" s="167"/>
      <c r="J168" s="188"/>
      <c r="K168" s="189"/>
      <c r="L168" s="190"/>
      <c r="M168" s="191"/>
      <c r="N168" s="156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="11" customFormat="1" ht="16.5" customHeight="1" spans="1:33">
      <c r="A169" s="145"/>
      <c r="B169" s="180" t="s">
        <v>385</v>
      </c>
      <c r="C169" s="180"/>
      <c r="D169" s="181"/>
      <c r="E169" s="179"/>
      <c r="F169" s="181"/>
      <c r="G169" s="182">
        <f t="shared" si="4"/>
        <v>0</v>
      </c>
      <c r="H169" s="183"/>
      <c r="I169" s="167"/>
      <c r="J169" s="188"/>
      <c r="K169" s="189"/>
      <c r="L169" s="190"/>
      <c r="M169" s="191"/>
      <c r="N169" s="156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="11" customFormat="1" ht="16.5" customHeight="1" spans="1:33">
      <c r="A170" s="145"/>
      <c r="B170" s="180" t="s">
        <v>386</v>
      </c>
      <c r="C170" s="180"/>
      <c r="D170" s="181"/>
      <c r="E170" s="179"/>
      <c r="F170" s="181"/>
      <c r="G170" s="182">
        <f t="shared" si="4"/>
        <v>0</v>
      </c>
      <c r="H170" s="183"/>
      <c r="I170" s="167"/>
      <c r="J170" s="188"/>
      <c r="K170" s="189"/>
      <c r="L170" s="190"/>
      <c r="M170" s="191"/>
      <c r="N170" s="156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="11" customFormat="1" ht="16.5" customHeight="1" spans="1:33">
      <c r="A171" s="145"/>
      <c r="B171" s="180" t="s">
        <v>387</v>
      </c>
      <c r="C171" s="180"/>
      <c r="D171" s="181"/>
      <c r="E171" s="179"/>
      <c r="F171" s="181"/>
      <c r="G171" s="182">
        <f t="shared" si="4"/>
        <v>0</v>
      </c>
      <c r="H171" s="183"/>
      <c r="I171" s="167"/>
      <c r="J171" s="188"/>
      <c r="K171" s="189"/>
      <c r="L171" s="190"/>
      <c r="M171" s="191"/>
      <c r="N171" s="156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="11" customFormat="1" ht="16.5" customHeight="1" spans="1:33">
      <c r="A172" s="145"/>
      <c r="B172" s="180" t="s">
        <v>388</v>
      </c>
      <c r="C172" s="180"/>
      <c r="D172" s="181"/>
      <c r="E172" s="179"/>
      <c r="F172" s="181"/>
      <c r="G172" s="182">
        <f t="shared" si="4"/>
        <v>0</v>
      </c>
      <c r="H172" s="183"/>
      <c r="I172" s="167"/>
      <c r="J172" s="188"/>
      <c r="K172" s="189"/>
      <c r="L172" s="190"/>
      <c r="M172" s="191"/>
      <c r="N172" s="156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="11" customFormat="1" ht="16.5" customHeight="1" spans="1:33">
      <c r="A173" s="145"/>
      <c r="B173" s="180" t="s">
        <v>389</v>
      </c>
      <c r="C173" s="180"/>
      <c r="D173" s="181"/>
      <c r="E173" s="179"/>
      <c r="F173" s="181"/>
      <c r="G173" s="182">
        <f t="shared" si="4"/>
        <v>0</v>
      </c>
      <c r="H173" s="183"/>
      <c r="I173" s="167"/>
      <c r="J173" s="188"/>
      <c r="K173" s="189"/>
      <c r="L173" s="190"/>
      <c r="M173" s="191"/>
      <c r="N173" s="156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="11" customFormat="1" ht="16.5" customHeight="1" spans="1:33">
      <c r="A174" s="145"/>
      <c r="B174" s="180" t="s">
        <v>390</v>
      </c>
      <c r="C174" s="180"/>
      <c r="D174" s="181"/>
      <c r="E174" s="179"/>
      <c r="F174" s="181"/>
      <c r="G174" s="182">
        <f t="shared" si="4"/>
        <v>0</v>
      </c>
      <c r="H174" s="183"/>
      <c r="I174" s="192"/>
      <c r="J174" s="188"/>
      <c r="K174" s="189"/>
      <c r="L174" s="193"/>
      <c r="M174" s="194"/>
      <c r="N174" s="157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="11" customFormat="1" ht="16.5" customHeight="1" spans="1:33">
      <c r="A175" s="154" t="s">
        <v>391</v>
      </c>
      <c r="B175" s="180" t="s">
        <v>392</v>
      </c>
      <c r="C175" s="180"/>
      <c r="D175" s="181"/>
      <c r="E175" s="179"/>
      <c r="F175" s="181"/>
      <c r="G175" s="182">
        <f t="shared" si="4"/>
        <v>0</v>
      </c>
      <c r="H175" s="183"/>
      <c r="I175" s="163" t="s">
        <v>374</v>
      </c>
      <c r="J175" s="184">
        <v>0</v>
      </c>
      <c r="K175" s="185"/>
      <c r="L175" s="186">
        <f>J175/I175</f>
        <v>0</v>
      </c>
      <c r="M175" s="187"/>
      <c r="N175" s="154" t="s">
        <v>225</v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="11" customFormat="1" ht="16.5" customHeight="1" spans="1:33">
      <c r="A176" s="156"/>
      <c r="B176" s="180" t="s">
        <v>393</v>
      </c>
      <c r="C176" s="180"/>
      <c r="D176" s="181"/>
      <c r="E176" s="179"/>
      <c r="F176" s="181"/>
      <c r="G176" s="182">
        <f t="shared" si="4"/>
        <v>0</v>
      </c>
      <c r="H176" s="183"/>
      <c r="I176" s="167"/>
      <c r="J176" s="188"/>
      <c r="K176" s="189"/>
      <c r="L176" s="190"/>
      <c r="M176" s="191"/>
      <c r="N176" s="15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="11" customFormat="1" ht="16.5" customHeight="1" spans="1:33">
      <c r="A177" s="156"/>
      <c r="B177" s="180" t="s">
        <v>394</v>
      </c>
      <c r="C177" s="180"/>
      <c r="D177" s="181"/>
      <c r="E177" s="179"/>
      <c r="F177" s="181"/>
      <c r="G177" s="182">
        <f t="shared" si="4"/>
        <v>0</v>
      </c>
      <c r="H177" s="183"/>
      <c r="I177" s="167"/>
      <c r="J177" s="188"/>
      <c r="K177" s="189"/>
      <c r="L177" s="190"/>
      <c r="M177" s="191"/>
      <c r="N177" s="156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="11" customFormat="1" ht="16.5" customHeight="1" spans="1:33">
      <c r="A178" s="156"/>
      <c r="B178" s="180" t="s">
        <v>395</v>
      </c>
      <c r="C178" s="180"/>
      <c r="D178" s="181"/>
      <c r="E178" s="179"/>
      <c r="F178" s="181"/>
      <c r="G178" s="182">
        <f t="shared" si="4"/>
        <v>0</v>
      </c>
      <c r="H178" s="183"/>
      <c r="I178" s="192"/>
      <c r="J178" s="188"/>
      <c r="K178" s="189"/>
      <c r="L178" s="193"/>
      <c r="M178" s="194"/>
      <c r="N178" s="156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</sheetData>
  <protectedRanges>
    <protectedRange sqref="D69:D159" name="数据1_1_1_3_1_1_1_1"/>
    <protectedRange sqref="AA69:AA136" name="数据2_1_1_2_1_1_1_1_1_1_1_1_3_2_2_3_4_2_1_4_1"/>
    <protectedRange sqref="AC103:AD136" name="数据2_1_1_1_1_1_1_1_1_2_1_2_1_1_3_1_4_2_1_3_1_1"/>
    <protectedRange sqref="M69:N157 M158 M159:N178" name="数据1_2_1_1_1_1_1"/>
    <protectedRange sqref="H69:H157 H159:H178" name="数据1_1_1_4_1_1_1_1_1_1"/>
    <protectedRange sqref="J137:J157 J159:J178" name="数据1_2_1_2_1_1"/>
    <protectedRange sqref="R77:R136" name="数据1_1_1_5_1_1_1_2"/>
    <protectedRange sqref="AC69:AD102" name="数据2_1_1_1_1_1_1_1_1_1_5_1_1_1_1_1_1_1_4_2_1_3_1"/>
    <protectedRange sqref="E69:E157 E159:E178" name="数据1_1_1_4_1_1_1"/>
    <protectedRange sqref="Q69:Q136" name="数据1_1_1_1_1_1_1_2_1"/>
    <protectedRange sqref="H69:H157 H159:H178" name="数据1_1_1_4_1_1_1_1_1_1_1"/>
    <protectedRange sqref="AA69:AA136" name="数据2_1_1_2_1_1_1_1_1_1_1_1_3_2_2_3_4_2_1_4"/>
    <protectedRange sqref="J137:J157 J159:J178" name="数据1_2_1_2_1_1_1"/>
    <protectedRange sqref="R69:R76" name="数据1_1_1_6_1_1_2"/>
    <protectedRange sqref="R77:R136" name="数据1_1_1_5_1_1_1_2_1"/>
    <protectedRange sqref="AC103:AD136" name="数据2_1_1_1_1_1_1_1_1_2_1_2_1_1_3_1_4_2_1_3_1"/>
    <protectedRange sqref="AC69:AD102" name="数据2_1_1_1_1_1_1_1_1_1_5_1_1_1_1_1_1_1_4_2_1_3_1_1"/>
    <protectedRange sqref="D69:D159" name="数据1_1_1_3_1_1_1_1_1"/>
    <protectedRange sqref="E69:E157 E159:E178" name="数据1_1_1_4_1_1_1_1"/>
    <protectedRange sqref="M69:N157 M158 M159:N178" name="数据1_2_1_1_1_1"/>
    <protectedRange sqref="Q69:Q136" name="数据1_1_1_1_1_1_1_2_1_1"/>
    <protectedRange sqref="U69:U136" name="数据1_1_1_6_1_1_3"/>
  </protectedRanges>
  <mergeCells count="743">
    <mergeCell ref="A1:AE1"/>
    <mergeCell ref="A2:C2"/>
    <mergeCell ref="D2:H2"/>
    <mergeCell ref="L2:N2"/>
    <mergeCell ref="O2:Q2"/>
    <mergeCell ref="R2:T2"/>
    <mergeCell ref="U2:W2"/>
    <mergeCell ref="Y2:AA2"/>
    <mergeCell ref="AB2:AC2"/>
    <mergeCell ref="A3:AE3"/>
    <mergeCell ref="C4:D4"/>
    <mergeCell ref="E4:F4"/>
    <mergeCell ref="G4:H4"/>
    <mergeCell ref="I4:W4"/>
    <mergeCell ref="X4:Z4"/>
    <mergeCell ref="AD4:AE4"/>
    <mergeCell ref="C5:D5"/>
    <mergeCell ref="E5:F5"/>
    <mergeCell ref="G5:H5"/>
    <mergeCell ref="I5:W5"/>
    <mergeCell ref="X5:Z5"/>
    <mergeCell ref="AD5:AE5"/>
    <mergeCell ref="A6:B6"/>
    <mergeCell ref="C6:F6"/>
    <mergeCell ref="G6:I6"/>
    <mergeCell ref="J6:L6"/>
    <mergeCell ref="M6:O6"/>
    <mergeCell ref="P6:R6"/>
    <mergeCell ref="S6:T6"/>
    <mergeCell ref="U6:X6"/>
    <mergeCell ref="C7:E7"/>
    <mergeCell ref="G7:O7"/>
    <mergeCell ref="P7:R7"/>
    <mergeCell ref="S7:AE7"/>
    <mergeCell ref="A8:F8"/>
    <mergeCell ref="G8:I8"/>
    <mergeCell ref="J8:K8"/>
    <mergeCell ref="M8:N8"/>
    <mergeCell ref="P8:R8"/>
    <mergeCell ref="S8:AE8"/>
    <mergeCell ref="A9:F9"/>
    <mergeCell ref="G9:I9"/>
    <mergeCell ref="J9:K9"/>
    <mergeCell ref="M9:N9"/>
    <mergeCell ref="P9:R9"/>
    <mergeCell ref="S9:AE9"/>
    <mergeCell ref="A10:B10"/>
    <mergeCell ref="C10:AE10"/>
    <mergeCell ref="C11:F11"/>
    <mergeCell ref="G11:I11"/>
    <mergeCell ref="J11:L11"/>
    <mergeCell ref="M11:N11"/>
    <mergeCell ref="P11:T11"/>
    <mergeCell ref="U11:W11"/>
    <mergeCell ref="X11:Y11"/>
    <mergeCell ref="C12:F12"/>
    <mergeCell ref="G12:H12"/>
    <mergeCell ref="J12:L12"/>
    <mergeCell ref="M12:N12"/>
    <mergeCell ref="S12:T12"/>
    <mergeCell ref="U12:W12"/>
    <mergeCell ref="X12:Y12"/>
    <mergeCell ref="C13:F13"/>
    <mergeCell ref="G13:H13"/>
    <mergeCell ref="J13:L13"/>
    <mergeCell ref="M13:N13"/>
    <mergeCell ref="S13:T13"/>
    <mergeCell ref="U13:W13"/>
    <mergeCell ref="X13:Y13"/>
    <mergeCell ref="C14:F14"/>
    <mergeCell ref="G14:H14"/>
    <mergeCell ref="J14:L14"/>
    <mergeCell ref="M14:N14"/>
    <mergeCell ref="S14:T14"/>
    <mergeCell ref="U14:W14"/>
    <mergeCell ref="X14:Y14"/>
    <mergeCell ref="C15:F15"/>
    <mergeCell ref="G15:H15"/>
    <mergeCell ref="J15:L15"/>
    <mergeCell ref="M15:N15"/>
    <mergeCell ref="P15:R15"/>
    <mergeCell ref="S15:T15"/>
    <mergeCell ref="U15:Y15"/>
    <mergeCell ref="C16:F16"/>
    <mergeCell ref="H16:K16"/>
    <mergeCell ref="L16:N16"/>
    <mergeCell ref="P16:R16"/>
    <mergeCell ref="S16:T16"/>
    <mergeCell ref="U16:Y16"/>
    <mergeCell ref="C17:F17"/>
    <mergeCell ref="H17:K17"/>
    <mergeCell ref="L17:N17"/>
    <mergeCell ref="P17:R17"/>
    <mergeCell ref="S17:T17"/>
    <mergeCell ref="U17:Y17"/>
    <mergeCell ref="C18:F18"/>
    <mergeCell ref="H18:K18"/>
    <mergeCell ref="L18:N18"/>
    <mergeCell ref="P18:R18"/>
    <mergeCell ref="S18:T18"/>
    <mergeCell ref="V18:W18"/>
    <mergeCell ref="A19:B19"/>
    <mergeCell ref="C19:AE19"/>
    <mergeCell ref="C20:AA20"/>
    <mergeCell ref="C21:N21"/>
    <mergeCell ref="P21:AA21"/>
    <mergeCell ref="D22:E22"/>
    <mergeCell ref="G22:H22"/>
    <mergeCell ref="J22:K22"/>
    <mergeCell ref="M22:N22"/>
    <mergeCell ref="Q22:R22"/>
    <mergeCell ref="T22:U22"/>
    <mergeCell ref="W22:X22"/>
    <mergeCell ref="Z22:AA22"/>
    <mergeCell ref="AD22:AE22"/>
    <mergeCell ref="D23:N23"/>
    <mergeCell ref="Q23:AA23"/>
    <mergeCell ref="AD23:AE23"/>
    <mergeCell ref="E24:G24"/>
    <mergeCell ref="H24:I24"/>
    <mergeCell ref="K24:N24"/>
    <mergeCell ref="R24:T24"/>
    <mergeCell ref="U24:V24"/>
    <mergeCell ref="X24:AA24"/>
    <mergeCell ref="AC24:AE24"/>
    <mergeCell ref="E25:G25"/>
    <mergeCell ref="H25:I25"/>
    <mergeCell ref="R25:T25"/>
    <mergeCell ref="U25:V25"/>
    <mergeCell ref="AC25:AE25"/>
    <mergeCell ref="F28:G28"/>
    <mergeCell ref="S28:T28"/>
    <mergeCell ref="AC28:AE28"/>
    <mergeCell ref="F29:G29"/>
    <mergeCell ref="S29:T29"/>
    <mergeCell ref="AC29:AE29"/>
    <mergeCell ref="F30:G30"/>
    <mergeCell ref="I30:J30"/>
    <mergeCell ref="S30:T30"/>
    <mergeCell ref="V30:W30"/>
    <mergeCell ref="F31:G31"/>
    <mergeCell ref="I31:J31"/>
    <mergeCell ref="S31:T31"/>
    <mergeCell ref="V31:W31"/>
    <mergeCell ref="C32:N32"/>
    <mergeCell ref="P32:AA32"/>
    <mergeCell ref="D33:N33"/>
    <mergeCell ref="Q33:AA33"/>
    <mergeCell ref="AB33:AC33"/>
    <mergeCell ref="AD33:AE33"/>
    <mergeCell ref="E34:G34"/>
    <mergeCell ref="H34:I34"/>
    <mergeCell ref="K34:N34"/>
    <mergeCell ref="R34:T34"/>
    <mergeCell ref="U34:V34"/>
    <mergeCell ref="X34:AA34"/>
    <mergeCell ref="AB34:AC34"/>
    <mergeCell ref="AD34:AE34"/>
    <mergeCell ref="E35:G35"/>
    <mergeCell ref="H35:I35"/>
    <mergeCell ref="R35:T35"/>
    <mergeCell ref="U35:V35"/>
    <mergeCell ref="AB35:AC35"/>
    <mergeCell ref="AD35:AE35"/>
    <mergeCell ref="F38:G38"/>
    <mergeCell ref="S38:T38"/>
    <mergeCell ref="AB38:AC38"/>
    <mergeCell ref="AD38:AE38"/>
    <mergeCell ref="F39:G39"/>
    <mergeCell ref="S39:T39"/>
    <mergeCell ref="AB39:AC39"/>
    <mergeCell ref="AD39:AE39"/>
    <mergeCell ref="F40:G40"/>
    <mergeCell ref="I40:J40"/>
    <mergeCell ref="S40:T40"/>
    <mergeCell ref="V40:W40"/>
    <mergeCell ref="AB40:AC40"/>
    <mergeCell ref="AD40:AE40"/>
    <mergeCell ref="I41:J41"/>
    <mergeCell ref="V41:W41"/>
    <mergeCell ref="D42:N42"/>
    <mergeCell ref="Q42:AA42"/>
    <mergeCell ref="C43:AA43"/>
    <mergeCell ref="C44:N44"/>
    <mergeCell ref="P44:AA44"/>
    <mergeCell ref="C45:D45"/>
    <mergeCell ref="G45:H45"/>
    <mergeCell ref="J45:K45"/>
    <mergeCell ref="M45:N45"/>
    <mergeCell ref="P45:Q45"/>
    <mergeCell ref="T45:U45"/>
    <mergeCell ref="W45:X45"/>
    <mergeCell ref="Z45:AA45"/>
    <mergeCell ref="C46:D46"/>
    <mergeCell ref="G46:H46"/>
    <mergeCell ref="J46:K46"/>
    <mergeCell ref="M46:N46"/>
    <mergeCell ref="P46:Q46"/>
    <mergeCell ref="T46:U46"/>
    <mergeCell ref="W46:X46"/>
    <mergeCell ref="Z46:AA46"/>
    <mergeCell ref="C47:N47"/>
    <mergeCell ref="P47:AA47"/>
    <mergeCell ref="E48:F48"/>
    <mergeCell ref="G48:H48"/>
    <mergeCell ref="I48:J48"/>
    <mergeCell ref="K48:L48"/>
    <mergeCell ref="R48:S48"/>
    <mergeCell ref="T48:U48"/>
    <mergeCell ref="V48:W48"/>
    <mergeCell ref="X48:Y48"/>
    <mergeCell ref="C49:N49"/>
    <mergeCell ref="P49:AA49"/>
    <mergeCell ref="E50:F50"/>
    <mergeCell ref="G50:H50"/>
    <mergeCell ref="I50:J50"/>
    <mergeCell ref="K50:L50"/>
    <mergeCell ref="R50:S50"/>
    <mergeCell ref="T50:U50"/>
    <mergeCell ref="V50:W50"/>
    <mergeCell ref="X50:Y50"/>
    <mergeCell ref="D51:N51"/>
    <mergeCell ref="Q51:AA51"/>
    <mergeCell ref="A52:B52"/>
    <mergeCell ref="C52:AE52"/>
    <mergeCell ref="A53:B53"/>
    <mergeCell ref="C53:AE53"/>
    <mergeCell ref="A54:B54"/>
    <mergeCell ref="C54:AE54"/>
    <mergeCell ref="A55:B55"/>
    <mergeCell ref="C55:AE55"/>
    <mergeCell ref="A56:AE56"/>
    <mergeCell ref="A57:L57"/>
    <mergeCell ref="O57:Z57"/>
    <mergeCell ref="AD57:AE57"/>
    <mergeCell ref="A58:B58"/>
    <mergeCell ref="C58:D58"/>
    <mergeCell ref="E58:F58"/>
    <mergeCell ref="G58:H58"/>
    <mergeCell ref="I58:J58"/>
    <mergeCell ref="K58:L58"/>
    <mergeCell ref="O58:Q58"/>
    <mergeCell ref="R58:U58"/>
    <mergeCell ref="V58:X58"/>
    <mergeCell ref="Y58:Z58"/>
    <mergeCell ref="A59:B59"/>
    <mergeCell ref="C59:D59"/>
    <mergeCell ref="E59:F59"/>
    <mergeCell ref="G59:H59"/>
    <mergeCell ref="I59:J59"/>
    <mergeCell ref="K59:L59"/>
    <mergeCell ref="A60:B60"/>
    <mergeCell ref="C60:D60"/>
    <mergeCell ref="E60:F60"/>
    <mergeCell ref="G60:H60"/>
    <mergeCell ref="I60:J60"/>
    <mergeCell ref="K60:L60"/>
    <mergeCell ref="AB60:AE60"/>
    <mergeCell ref="C61:D61"/>
    <mergeCell ref="E61:F61"/>
    <mergeCell ref="G61:H61"/>
    <mergeCell ref="I61:J61"/>
    <mergeCell ref="K61:L61"/>
    <mergeCell ref="O61:R61"/>
    <mergeCell ref="S61:U61"/>
    <mergeCell ref="V61:Z61"/>
    <mergeCell ref="AD61:AE61"/>
    <mergeCell ref="A62:B62"/>
    <mergeCell ref="C62:D62"/>
    <mergeCell ref="E62:F62"/>
    <mergeCell ref="G62:H62"/>
    <mergeCell ref="I62:J62"/>
    <mergeCell ref="K62:L62"/>
    <mergeCell ref="A63:B63"/>
    <mergeCell ref="C63:D63"/>
    <mergeCell ref="E63:F63"/>
    <mergeCell ref="G63:H63"/>
    <mergeCell ref="I63:J63"/>
    <mergeCell ref="K63:L63"/>
    <mergeCell ref="A64:B64"/>
    <mergeCell ref="C64:D64"/>
    <mergeCell ref="E64:F64"/>
    <mergeCell ref="G64:H64"/>
    <mergeCell ref="I64:J64"/>
    <mergeCell ref="K64:L64"/>
    <mergeCell ref="A65:B65"/>
    <mergeCell ref="C65:D65"/>
    <mergeCell ref="E65:F65"/>
    <mergeCell ref="G65:H65"/>
    <mergeCell ref="I65:J65"/>
    <mergeCell ref="K65:L65"/>
    <mergeCell ref="A67:AE67"/>
    <mergeCell ref="F68:G68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A157:N157"/>
    <mergeCell ref="B158:D158"/>
    <mergeCell ref="E158:F158"/>
    <mergeCell ref="G158:H158"/>
    <mergeCell ref="J158:K158"/>
    <mergeCell ref="L158:M158"/>
    <mergeCell ref="B159:D159"/>
    <mergeCell ref="E159:F159"/>
    <mergeCell ref="G159:H159"/>
    <mergeCell ref="B160:D160"/>
    <mergeCell ref="E160:F160"/>
    <mergeCell ref="G160:H160"/>
    <mergeCell ref="B161:D161"/>
    <mergeCell ref="E161:F161"/>
    <mergeCell ref="G161:H161"/>
    <mergeCell ref="B162:D162"/>
    <mergeCell ref="E162:F162"/>
    <mergeCell ref="G162:H162"/>
    <mergeCell ref="B163:D163"/>
    <mergeCell ref="E163:F163"/>
    <mergeCell ref="G163:H163"/>
    <mergeCell ref="B164:D164"/>
    <mergeCell ref="E164:F164"/>
    <mergeCell ref="G164:H164"/>
    <mergeCell ref="B165:D165"/>
    <mergeCell ref="E165:F165"/>
    <mergeCell ref="G165:H165"/>
    <mergeCell ref="B166:D166"/>
    <mergeCell ref="E166:F166"/>
    <mergeCell ref="G166:H166"/>
    <mergeCell ref="B167:D167"/>
    <mergeCell ref="E167:F167"/>
    <mergeCell ref="G167:H167"/>
    <mergeCell ref="B168:D168"/>
    <mergeCell ref="E168:F168"/>
    <mergeCell ref="G168:H168"/>
    <mergeCell ref="B169:D169"/>
    <mergeCell ref="E169:F169"/>
    <mergeCell ref="G169:H169"/>
    <mergeCell ref="B170:D170"/>
    <mergeCell ref="E170:F170"/>
    <mergeCell ref="G170:H170"/>
    <mergeCell ref="B171:D171"/>
    <mergeCell ref="E171:F171"/>
    <mergeCell ref="G171:H171"/>
    <mergeCell ref="B172:D172"/>
    <mergeCell ref="E172:F172"/>
    <mergeCell ref="G172:H172"/>
    <mergeCell ref="B173:D173"/>
    <mergeCell ref="E173:F173"/>
    <mergeCell ref="G173:H173"/>
    <mergeCell ref="B174:D174"/>
    <mergeCell ref="E174:F174"/>
    <mergeCell ref="G174:H174"/>
    <mergeCell ref="B175:D175"/>
    <mergeCell ref="E175:F175"/>
    <mergeCell ref="G175:H175"/>
    <mergeCell ref="B176:D176"/>
    <mergeCell ref="E176:F176"/>
    <mergeCell ref="G176:H176"/>
    <mergeCell ref="B177:D177"/>
    <mergeCell ref="E177:F177"/>
    <mergeCell ref="G177:H177"/>
    <mergeCell ref="B178:D178"/>
    <mergeCell ref="E178:F178"/>
    <mergeCell ref="G178:H178"/>
    <mergeCell ref="A4:A5"/>
    <mergeCell ref="A69:A78"/>
    <mergeCell ref="A79:A88"/>
    <mergeCell ref="A89:A102"/>
    <mergeCell ref="A103:A116"/>
    <mergeCell ref="A117:A126"/>
    <mergeCell ref="A127:A136"/>
    <mergeCell ref="A137:A146"/>
    <mergeCell ref="A147:A156"/>
    <mergeCell ref="A159:A166"/>
    <mergeCell ref="A167:A174"/>
    <mergeCell ref="A175:A178"/>
    <mergeCell ref="B69:B73"/>
    <mergeCell ref="B74:B78"/>
    <mergeCell ref="B79:B83"/>
    <mergeCell ref="B84:B88"/>
    <mergeCell ref="B89:B95"/>
    <mergeCell ref="B96:B102"/>
    <mergeCell ref="B103:B109"/>
    <mergeCell ref="B110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C26:C27"/>
    <mergeCell ref="C36:C37"/>
    <mergeCell ref="C69:C73"/>
    <mergeCell ref="C74:C78"/>
    <mergeCell ref="C79:C83"/>
    <mergeCell ref="C84:C88"/>
    <mergeCell ref="C89:C95"/>
    <mergeCell ref="C96:C102"/>
    <mergeCell ref="C103:C109"/>
    <mergeCell ref="C110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D26:D27"/>
    <mergeCell ref="D36:D37"/>
    <mergeCell ref="D69:D73"/>
    <mergeCell ref="D74:D78"/>
    <mergeCell ref="D79:D83"/>
    <mergeCell ref="D84:D88"/>
    <mergeCell ref="D89:D95"/>
    <mergeCell ref="D96:D102"/>
    <mergeCell ref="D103:D109"/>
    <mergeCell ref="D110:D116"/>
    <mergeCell ref="D117:D121"/>
    <mergeCell ref="D122:D126"/>
    <mergeCell ref="D127:D131"/>
    <mergeCell ref="D132:D136"/>
    <mergeCell ref="D137:D141"/>
    <mergeCell ref="D142:D146"/>
    <mergeCell ref="D147:D151"/>
    <mergeCell ref="D152:D156"/>
    <mergeCell ref="E26:E27"/>
    <mergeCell ref="E36:E37"/>
    <mergeCell ref="E69:E73"/>
    <mergeCell ref="E74:E78"/>
    <mergeCell ref="E79:E83"/>
    <mergeCell ref="E84:E88"/>
    <mergeCell ref="E89:E95"/>
    <mergeCell ref="E96:E102"/>
    <mergeCell ref="E103:E109"/>
    <mergeCell ref="E110:E116"/>
    <mergeCell ref="E117:E121"/>
    <mergeCell ref="E122:E126"/>
    <mergeCell ref="E127:E131"/>
    <mergeCell ref="E132:E136"/>
    <mergeCell ref="E137:E141"/>
    <mergeCell ref="E142:E146"/>
    <mergeCell ref="E147:E151"/>
    <mergeCell ref="E152:E156"/>
    <mergeCell ref="H26:H27"/>
    <mergeCell ref="H36:H37"/>
    <mergeCell ref="H69:H73"/>
    <mergeCell ref="H74:H78"/>
    <mergeCell ref="H79:H83"/>
    <mergeCell ref="H84:H88"/>
    <mergeCell ref="H89:H95"/>
    <mergeCell ref="H96:H102"/>
    <mergeCell ref="H103:H109"/>
    <mergeCell ref="H110:H116"/>
    <mergeCell ref="H117:H121"/>
    <mergeCell ref="H122:H126"/>
    <mergeCell ref="H127:H131"/>
    <mergeCell ref="H132:H136"/>
    <mergeCell ref="H137:H141"/>
    <mergeCell ref="H142:H146"/>
    <mergeCell ref="H147:H151"/>
    <mergeCell ref="H152:H156"/>
    <mergeCell ref="I26:I27"/>
    <mergeCell ref="I36:I37"/>
    <mergeCell ref="I69:I78"/>
    <mergeCell ref="I79:I88"/>
    <mergeCell ref="I89:I102"/>
    <mergeCell ref="I103:I116"/>
    <mergeCell ref="I117:I126"/>
    <mergeCell ref="I127:I136"/>
    <mergeCell ref="I137:I141"/>
    <mergeCell ref="I142:I146"/>
    <mergeCell ref="I147:I151"/>
    <mergeCell ref="I152:I156"/>
    <mergeCell ref="I159:I166"/>
    <mergeCell ref="I167:I174"/>
    <mergeCell ref="I175:I178"/>
    <mergeCell ref="J26:J27"/>
    <mergeCell ref="J36:J37"/>
    <mergeCell ref="J69:J78"/>
    <mergeCell ref="J79:J88"/>
    <mergeCell ref="J89:J102"/>
    <mergeCell ref="J103:J116"/>
    <mergeCell ref="J117:J126"/>
    <mergeCell ref="J127:J136"/>
    <mergeCell ref="J137:J141"/>
    <mergeCell ref="J142:J146"/>
    <mergeCell ref="J147:J151"/>
    <mergeCell ref="J152:J156"/>
    <mergeCell ref="K26:K27"/>
    <mergeCell ref="K36:K37"/>
    <mergeCell ref="K69:K78"/>
    <mergeCell ref="K79:K88"/>
    <mergeCell ref="K89:K102"/>
    <mergeCell ref="K103:K116"/>
    <mergeCell ref="K117:K126"/>
    <mergeCell ref="K127:K136"/>
    <mergeCell ref="K137:K141"/>
    <mergeCell ref="K142:K146"/>
    <mergeCell ref="K147:K151"/>
    <mergeCell ref="K152:K156"/>
    <mergeCell ref="L26:L27"/>
    <mergeCell ref="L36:L37"/>
    <mergeCell ref="L69:L78"/>
    <mergeCell ref="L79:L88"/>
    <mergeCell ref="L89:L102"/>
    <mergeCell ref="L103:L116"/>
    <mergeCell ref="L117:L126"/>
    <mergeCell ref="L127:L136"/>
    <mergeCell ref="L137:L146"/>
    <mergeCell ref="L147:L156"/>
    <mergeCell ref="M26:M27"/>
    <mergeCell ref="M36:M37"/>
    <mergeCell ref="M69:M78"/>
    <mergeCell ref="M79:M88"/>
    <mergeCell ref="M89:M102"/>
    <mergeCell ref="M103:M116"/>
    <mergeCell ref="M117:M126"/>
    <mergeCell ref="M127:M136"/>
    <mergeCell ref="M137:M141"/>
    <mergeCell ref="M142:M146"/>
    <mergeCell ref="M147:M151"/>
    <mergeCell ref="M152:M156"/>
    <mergeCell ref="N26:N27"/>
    <mergeCell ref="N36:N37"/>
    <mergeCell ref="N69:N78"/>
    <mergeCell ref="N79:N88"/>
    <mergeCell ref="N89:N102"/>
    <mergeCell ref="N103:N116"/>
    <mergeCell ref="N117:N126"/>
    <mergeCell ref="N127:N136"/>
    <mergeCell ref="N137:N141"/>
    <mergeCell ref="N142:N146"/>
    <mergeCell ref="N147:N151"/>
    <mergeCell ref="N152:N156"/>
    <mergeCell ref="N159:N166"/>
    <mergeCell ref="N167:N174"/>
    <mergeCell ref="N175:N178"/>
    <mergeCell ref="O11:O15"/>
    <mergeCell ref="O21:O42"/>
    <mergeCell ref="O44:O51"/>
    <mergeCell ref="P26:P27"/>
    <mergeCell ref="P36:P37"/>
    <mergeCell ref="Q26:Q27"/>
    <mergeCell ref="Q36:Q37"/>
    <mergeCell ref="R26:R27"/>
    <mergeCell ref="R36:R37"/>
    <mergeCell ref="U26:U27"/>
    <mergeCell ref="U36:U37"/>
    <mergeCell ref="V26:V27"/>
    <mergeCell ref="V36:V37"/>
    <mergeCell ref="W26:W27"/>
    <mergeCell ref="W36:W37"/>
    <mergeCell ref="W69:W78"/>
    <mergeCell ref="W79:W88"/>
    <mergeCell ref="W89:W102"/>
    <mergeCell ref="W103:W116"/>
    <mergeCell ref="W117:W126"/>
    <mergeCell ref="W127:W136"/>
    <mergeCell ref="X26:X27"/>
    <mergeCell ref="X36:X37"/>
    <mergeCell ref="X69:X78"/>
    <mergeCell ref="X79:X88"/>
    <mergeCell ref="X89:X102"/>
    <mergeCell ref="X103:X116"/>
    <mergeCell ref="X117:X126"/>
    <mergeCell ref="X127:X136"/>
    <mergeCell ref="Y26:Y27"/>
    <mergeCell ref="Y36:Y37"/>
    <mergeCell ref="Y69:Y78"/>
    <mergeCell ref="Y79:Y88"/>
    <mergeCell ref="Y89:Y102"/>
    <mergeCell ref="Y103:Y116"/>
    <mergeCell ref="Y117:Y126"/>
    <mergeCell ref="Y127:Y136"/>
    <mergeCell ref="Z26:Z27"/>
    <mergeCell ref="Z36:Z37"/>
    <mergeCell ref="Z69:Z78"/>
    <mergeCell ref="Z79:Z88"/>
    <mergeCell ref="Z89:Z102"/>
    <mergeCell ref="Z103:Z116"/>
    <mergeCell ref="Z117:Z126"/>
    <mergeCell ref="Z127:Z136"/>
    <mergeCell ref="AA26:AA27"/>
    <mergeCell ref="AA36:AA37"/>
    <mergeCell ref="AA69:AA78"/>
    <mergeCell ref="AA79:AA88"/>
    <mergeCell ref="AA89:AA102"/>
    <mergeCell ref="AA103:AA116"/>
    <mergeCell ref="AA117:AA126"/>
    <mergeCell ref="AA127:AA136"/>
    <mergeCell ref="AB22:AB23"/>
    <mergeCell ref="AB26:AB27"/>
    <mergeCell ref="AB58:AB59"/>
    <mergeCell ref="AB62:AB63"/>
    <mergeCell ref="AB69:AB78"/>
    <mergeCell ref="AB79:AB88"/>
    <mergeCell ref="AB89:AB102"/>
    <mergeCell ref="AB103:AB116"/>
    <mergeCell ref="AB117:AB126"/>
    <mergeCell ref="AB127:AB136"/>
    <mergeCell ref="AC58:AC59"/>
    <mergeCell ref="AC62:AC63"/>
    <mergeCell ref="AC69:AC78"/>
    <mergeCell ref="AC79:AC88"/>
    <mergeCell ref="AC89:AC102"/>
    <mergeCell ref="AC103:AC116"/>
    <mergeCell ref="AC117:AC126"/>
    <mergeCell ref="AC127:AC136"/>
    <mergeCell ref="AD69:AD78"/>
    <mergeCell ref="AD79:AD88"/>
    <mergeCell ref="AD89:AD102"/>
    <mergeCell ref="AD103:AD116"/>
    <mergeCell ref="AD117:AD126"/>
    <mergeCell ref="AD127:AD136"/>
    <mergeCell ref="AE69:AE71"/>
    <mergeCell ref="AE72:AE73"/>
    <mergeCell ref="AE74:AE76"/>
    <mergeCell ref="AE77:AE78"/>
    <mergeCell ref="AE79:AE81"/>
    <mergeCell ref="AE82:AE83"/>
    <mergeCell ref="AE84:AE86"/>
    <mergeCell ref="AE87:AE88"/>
    <mergeCell ref="AE89:AE92"/>
    <mergeCell ref="AE93:AE95"/>
    <mergeCell ref="AE96:AE99"/>
    <mergeCell ref="AE100:AE102"/>
    <mergeCell ref="AE103:AE106"/>
    <mergeCell ref="AE107:AE109"/>
    <mergeCell ref="AE110:AE113"/>
    <mergeCell ref="AE114:AE116"/>
    <mergeCell ref="AE117:AE119"/>
    <mergeCell ref="AE120:AE121"/>
    <mergeCell ref="AE122:AE124"/>
    <mergeCell ref="AE125:AE126"/>
    <mergeCell ref="AE127:AE129"/>
    <mergeCell ref="AE130:AE131"/>
    <mergeCell ref="AE132:AE134"/>
    <mergeCell ref="AE135:AE136"/>
    <mergeCell ref="AC26:AE27"/>
    <mergeCell ref="A11:B18"/>
    <mergeCell ref="AB36:AC37"/>
    <mergeCell ref="AD36:AE37"/>
    <mergeCell ref="AB30:AE32"/>
    <mergeCell ref="P12:R14"/>
    <mergeCell ref="V62:Z63"/>
    <mergeCell ref="Y59:Z60"/>
    <mergeCell ref="AD58:AE59"/>
    <mergeCell ref="V59:X60"/>
    <mergeCell ref="S62:U63"/>
    <mergeCell ref="O62:R63"/>
    <mergeCell ref="O59:Q60"/>
    <mergeCell ref="A20:B51"/>
    <mergeCell ref="AD62:AE63"/>
    <mergeCell ref="R59:U60"/>
    <mergeCell ref="F69:G73"/>
    <mergeCell ref="F74:G78"/>
    <mergeCell ref="F79:G83"/>
    <mergeCell ref="F84:G88"/>
    <mergeCell ref="F89:G95"/>
    <mergeCell ref="F96:G102"/>
    <mergeCell ref="F103:G109"/>
    <mergeCell ref="F110:G116"/>
    <mergeCell ref="F117:G121"/>
    <mergeCell ref="F122:G126"/>
    <mergeCell ref="F127:G131"/>
    <mergeCell ref="F132:G136"/>
    <mergeCell ref="F137:G141"/>
    <mergeCell ref="F142:G146"/>
    <mergeCell ref="F147:G151"/>
    <mergeCell ref="F152:G156"/>
    <mergeCell ref="J159:K166"/>
    <mergeCell ref="L159:M166"/>
    <mergeCell ref="J167:K174"/>
    <mergeCell ref="L167:M174"/>
    <mergeCell ref="J175:K178"/>
    <mergeCell ref="L175:M178"/>
  </mergeCells>
  <conditionalFormatting sqref="AD58">
    <cfRule type="dataBar" priority="377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{b598c5f5-8399-452b-aaa2-e8b522bcbaea}</x14:id>
        </ext>
      </extLst>
    </cfRule>
    <cfRule type="dataBar" priority="3774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{8f48e670-e437-4a1e-9230-e9d9b46552c3}</x14:id>
        </ext>
      </extLst>
    </cfRule>
    <cfRule type="dataBar" priority="3775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{efdeb6a2-13bd-445f-a8dc-f07f31133a73}</x14:id>
        </ext>
      </extLst>
    </cfRule>
    <cfRule type="dataBar" priority="3776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{855f2798-6d67-41cd-88e2-c89b8800ce42}</x14:id>
        </ext>
      </extLst>
    </cfRule>
    <cfRule type="dataBar" priority="3777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{687da2b1-150d-43a1-9495-3167e5e87b1e}</x14:id>
        </ext>
      </extLst>
    </cfRule>
    <cfRule type="dataBar" priority="377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{1558842e-5608-48bd-b4f9-2e821e24fa7a}</x14:id>
        </ext>
      </extLst>
    </cfRule>
    <cfRule type="dataBar" priority="3779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{d4f558f3-353c-49d2-a5bc-10c17805dd0d}</x14:id>
        </ext>
      </extLst>
    </cfRule>
    <cfRule type="dataBar" priority="3780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{efc324f8-9c4d-491a-b679-57883da0c875}</x14:id>
        </ext>
      </extLst>
    </cfRule>
  </conditionalFormatting>
  <conditionalFormatting sqref="K62">
    <cfRule type="dataBar" priority="373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{e0ff6215-2cbb-454c-b8c4-b2657dd38496}</x14:id>
        </ext>
      </extLst>
    </cfRule>
    <cfRule type="dataBar" priority="3741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{0ada61c9-8abf-40ad-993b-6188270f77cc}</x14:id>
        </ext>
      </extLst>
    </cfRule>
    <cfRule type="dataBar" priority="3742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{fd138b58-7e19-4a31-b588-022f5b0291ab}</x14:id>
        </ext>
      </extLst>
    </cfRule>
    <cfRule type="dataBar" priority="3743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{f6cfe525-ddf7-4213-ac1d-b2e0d1c07b8a}</x14:id>
        </ext>
      </extLst>
    </cfRule>
    <cfRule type="dataBar" priority="3744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{3b14ec91-4e7b-4d06-976d-b8dd696e0541}</x14:id>
        </ext>
      </extLst>
    </cfRule>
    <cfRule type="dataBar" priority="3745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{4830e364-f3f3-4c41-a7a0-a9602c99d4bc}</x14:id>
        </ext>
      </extLst>
    </cfRule>
    <cfRule type="dataBar" priority="3746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{e704e312-5517-429a-a4b2-4f45c4ee0447}</x14:id>
        </ext>
      </extLst>
    </cfRule>
    <cfRule type="dataBar" priority="3747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{6e41048a-7200-458d-b221-0b479405598f}</x14:id>
        </ext>
      </extLst>
    </cfRule>
  </conditionalFormatting>
  <conditionalFormatting sqref="AD62">
    <cfRule type="dataBar" priority="376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{fc7433db-5472-4cbf-a1f9-00f185fa53d0}</x14:id>
        </ext>
      </extLst>
    </cfRule>
    <cfRule type="dataBar" priority="3763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{c4fa312b-c35f-4eaf-928d-ebc2e24d7b8e}</x14:id>
        </ext>
      </extLst>
    </cfRule>
    <cfRule type="dataBar" priority="3764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{2240ad62-8d2f-46e7-94bc-ad0dab6f0fba}</x14:id>
        </ext>
      </extLst>
    </cfRule>
    <cfRule type="dataBar" priority="3765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{17dea9c9-4aa1-455f-8a11-b5c1d6612f4c}</x14:id>
        </ext>
      </extLst>
    </cfRule>
    <cfRule type="dataBar" priority="3766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{af820933-ffdd-4a97-a790-3cabe79ffbc9}</x14:id>
        </ext>
      </extLst>
    </cfRule>
    <cfRule type="dataBar" priority="3767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{6f2616d7-973e-42ac-a52f-9e48834f99c3}</x14:id>
        </ext>
      </extLst>
    </cfRule>
    <cfRule type="dataBar" priority="3768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{65cca4d8-b0ee-47c8-924d-7ff2125443a7}</x14:id>
        </ext>
      </extLst>
    </cfRule>
    <cfRule type="dataBar" priority="3769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{dc7a494e-cedf-4459-810f-ccea952bda9d}</x14:id>
        </ext>
      </extLst>
    </cfRule>
  </conditionalFormatting>
  <conditionalFormatting sqref="K63">
    <cfRule type="dataBar" priority="372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{3191d31d-8b73-467a-a8e5-6d45ecafc47c}</x14:id>
        </ext>
      </extLst>
    </cfRule>
    <cfRule type="dataBar" priority="3730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{a702bbd8-b1a9-4af0-b79b-8ae7668c80ea}</x14:id>
        </ext>
      </extLst>
    </cfRule>
    <cfRule type="dataBar" priority="3731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{2cf52f79-8631-4d36-b739-0b7b53ea6271}</x14:id>
        </ext>
      </extLst>
    </cfRule>
    <cfRule type="dataBar" priority="3732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{0bb4b56b-c043-455f-854e-2886c4ae7560}</x14:id>
        </ext>
      </extLst>
    </cfRule>
    <cfRule type="dataBar" priority="3733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{a793fd34-4ff2-4fd6-8613-8780e2d87bac}</x14:id>
        </ext>
      </extLst>
    </cfRule>
    <cfRule type="dataBar" priority="373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{5d917e84-5bd8-4d73-97ed-74b819fe1757}</x14:id>
        </ext>
      </extLst>
    </cfRule>
    <cfRule type="dataBar" priority="3735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{3d7137e3-1da3-4c8c-ae49-9799835f57a2}</x14:id>
        </ext>
      </extLst>
    </cfRule>
    <cfRule type="dataBar" priority="3736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{0a24fe1e-6c9b-46a3-b8dc-ca9a475139fd}</x14:id>
        </ext>
      </extLst>
    </cfRule>
  </conditionalFormatting>
  <conditionalFormatting sqref="K64">
    <cfRule type="dataBar" priority="371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{780e9ed2-58c5-4ee3-8624-6a46c01ec6fe}</x14:id>
        </ext>
      </extLst>
    </cfRule>
    <cfRule type="dataBar" priority="3719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{2b01649d-7c6e-46cf-8481-7c02d14bc5ae}</x14:id>
        </ext>
      </extLst>
    </cfRule>
    <cfRule type="dataBar" priority="3720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{670cf95c-4cfa-469e-a3a2-70b782d1a45f}</x14:id>
        </ext>
      </extLst>
    </cfRule>
    <cfRule type="dataBar" priority="3721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{0e99b6f1-35a4-4b59-b866-f7dd14e16301}</x14:id>
        </ext>
      </extLst>
    </cfRule>
    <cfRule type="dataBar" priority="3722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{e917eced-c90e-469e-bb34-9d76692636f8}</x14:id>
        </ext>
      </extLst>
    </cfRule>
    <cfRule type="dataBar" priority="372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{c4b9373c-c4bd-453c-aa12-668f80332871}</x14:id>
        </ext>
      </extLst>
    </cfRule>
    <cfRule type="dataBar" priority="3724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{c2cb63ba-140d-4a19-8ee6-96a4af7bc6f1}</x14:id>
        </ext>
      </extLst>
    </cfRule>
    <cfRule type="dataBar" priority="3725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{c01e2054-e260-4fc3-82da-98ad8ef831bd}</x14:id>
        </ext>
      </extLst>
    </cfRule>
  </conditionalFormatting>
  <conditionalFormatting sqref="K65">
    <cfRule type="dataBar" priority="370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{494c38ec-c435-4aba-a730-c404fc393d98}</x14:id>
        </ext>
      </extLst>
    </cfRule>
    <cfRule type="dataBar" priority="3708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{5a06a566-fb4e-4020-b29e-8799d5076990}</x14:id>
        </ext>
      </extLst>
    </cfRule>
    <cfRule type="dataBar" priority="3709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{9dae7389-357d-4127-b97b-9536964ca327}</x14:id>
        </ext>
      </extLst>
    </cfRule>
    <cfRule type="dataBar" priority="3710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{68904388-b2f1-41e2-bc05-16120072933f}</x14:id>
        </ext>
      </extLst>
    </cfRule>
    <cfRule type="dataBar" priority="3711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{1e3d6090-e947-4a37-a66a-3d11455ba7ed}</x14:id>
        </ext>
      </extLst>
    </cfRule>
    <cfRule type="dataBar" priority="371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{99b63241-e495-477b-9515-200da250a24f}</x14:id>
        </ext>
      </extLst>
    </cfRule>
    <cfRule type="dataBar" priority="3713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{e56d208a-2128-4e0b-b8f9-860e23493289}</x14:id>
        </ext>
      </extLst>
    </cfRule>
    <cfRule type="dataBar" priority="3714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{a7c1f6b6-9cd9-4be0-9840-663a7634b520}</x14:id>
        </ext>
      </extLst>
    </cfRule>
  </conditionalFormatting>
  <conditionalFormatting sqref="AB69">
    <cfRule type="dataBar" priority="1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{75a091de-005e-49f3-b9fa-b6f12c341520}</x14:id>
        </ext>
      </extLst>
    </cfRule>
    <cfRule type="dataBar" priority="1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{165b27e5-d4f4-406b-aebb-a407eeb96733}</x14:id>
        </ext>
      </extLst>
    </cfRule>
    <cfRule type="dataBar" priority="1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{3a5f25ac-e317-4e87-b909-121526f27d26}</x14:id>
        </ext>
      </extLst>
    </cfRule>
  </conditionalFormatting>
  <conditionalFormatting sqref="AB103">
    <cfRule type="dataBar" priority="1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{c5fcb8c0-5448-42be-8bd1-6090a5a29f97}</x14:id>
        </ext>
      </extLst>
    </cfRule>
    <cfRule type="dataBar" priority="2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{82170161-541e-4ac4-9fc1-d57e0ee99c33}</x14:id>
        </ext>
      </extLst>
    </cfRule>
    <cfRule type="dataBar" priority="21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{dc9d4a54-1c23-443a-8d8b-2ef22e288454}</x14:id>
        </ext>
      </extLst>
    </cfRule>
  </conditionalFormatting>
  <conditionalFormatting sqref="AB117">
    <cfRule type="dataBar" priority="2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{a870dfec-51c5-4980-9a4c-49aada3da9a4}</x14:id>
        </ext>
      </extLst>
    </cfRule>
    <cfRule type="dataBar" priority="24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{dab5203a-8f5a-4d28-881b-498af399bd1d}</x14:id>
        </ext>
      </extLst>
    </cfRule>
  </conditionalFormatting>
  <conditionalFormatting sqref="AB127">
    <cfRule type="dataBar" priority="1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{45e9604c-a225-454a-8d0e-e1cb9771c875}</x14:id>
        </ext>
      </extLst>
    </cfRule>
    <cfRule type="dataBar" priority="1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{f99aaffa-617e-429a-9a9d-c9b12b7b8283}</x14:id>
        </ext>
      </extLst>
    </cfRule>
    <cfRule type="dataBar" priority="1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{728b050a-9d6e-420a-a7d0-a74c650d4cb5}</x14:id>
        </ext>
      </extLst>
    </cfRule>
  </conditionalFormatting>
  <conditionalFormatting sqref="K137">
    <cfRule type="dataBar" priority="3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{c7de182d-6af3-4502-9874-3ad239b030bd}</x14:id>
        </ext>
      </extLst>
    </cfRule>
    <cfRule type="dataBar" priority="3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{bd6bac22-3f0d-430c-b54b-26ba1569a39b}</x14:id>
        </ext>
      </extLst>
    </cfRule>
    <cfRule type="dataBar" priority="40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{ab2028a1-c16b-40e8-9dc1-0b5dfdefdef6}</x14:id>
        </ext>
      </extLst>
    </cfRule>
  </conditionalFormatting>
  <conditionalFormatting sqref="K142">
    <cfRule type="dataBar" priority="4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{daab12a3-54f7-48d7-8776-5f67567ab289}</x14:id>
        </ext>
      </extLst>
    </cfRule>
    <cfRule type="dataBar" priority="4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{ccab9981-845b-4c3f-b2a2-77fbc335457b}</x14:id>
        </ext>
      </extLst>
    </cfRule>
    <cfRule type="dataBar" priority="43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{e7cf5723-25e4-4af0-bbb3-99285e6c2615}</x14:id>
        </ext>
      </extLst>
    </cfRule>
  </conditionalFormatting>
  <conditionalFormatting sqref="K147">
    <cfRule type="dataBar" priority="3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{e8814d0b-d661-48be-a40f-985dd05ecb3d}</x14:id>
        </ext>
      </extLst>
    </cfRule>
    <cfRule type="dataBar" priority="3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{7fcf7a47-c6da-48e4-9fdb-c2ec3861c48e}</x14:id>
        </ext>
      </extLst>
    </cfRule>
    <cfRule type="dataBar" priority="37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{2faa99de-6435-4506-97e1-ff3dc5fe97e6}</x14:id>
        </ext>
      </extLst>
    </cfRule>
  </conditionalFormatting>
  <conditionalFormatting sqref="K152">
    <cfRule type="dataBar" priority="3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{557674a9-d61a-44b0-85be-4e06db7dcc81}</x14:id>
        </ext>
      </extLst>
    </cfRule>
    <cfRule type="dataBar" priority="3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{7eacf8d5-75c4-4d97-a5c9-32f7c8bf33a9}</x14:id>
        </ext>
      </extLst>
    </cfRule>
    <cfRule type="dataBar" priority="34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{3806a512-8838-4592-b2f7-cc401e179ba4}</x14:id>
        </ext>
      </extLst>
    </cfRule>
  </conditionalFormatting>
  <conditionalFormatting sqref="K59:K60">
    <cfRule type="dataBar" priority="375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{3ebb3191-f28b-44ac-ad52-aa29015d27f2}</x14:id>
        </ext>
      </extLst>
    </cfRule>
    <cfRule type="dataBar" priority="3752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{2b98aeda-9e85-4ce1-961a-6bf3021bc048}</x14:id>
        </ext>
      </extLst>
    </cfRule>
    <cfRule type="dataBar" priority="3753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{6700a825-d4d0-4a2c-beed-141ddaee67a1}</x14:id>
        </ext>
      </extLst>
    </cfRule>
    <cfRule type="dataBar" priority="3754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{01d8b01d-ba46-4fae-8755-1032dd768868}</x14:id>
        </ext>
      </extLst>
    </cfRule>
    <cfRule type="dataBar" priority="3755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{2ac95ae6-b1a0-41c9-bd17-e231c7468929}</x14:id>
        </ext>
      </extLst>
    </cfRule>
    <cfRule type="dataBar" priority="3756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{cee55df6-3430-4d05-9b01-d52efe6fa5d3}</x14:id>
        </ext>
      </extLst>
    </cfRule>
    <cfRule type="dataBar" priority="3757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{ecf9b965-8872-4d68-bb21-f7d8cd86f7ec}</x14:id>
        </ext>
      </extLst>
    </cfRule>
    <cfRule type="dataBar" priority="3758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{e3ef02cf-2871-4ca2-9bf1-3d3c5a637a30}</x14:id>
        </ext>
      </extLst>
    </cfRule>
  </conditionalFormatting>
  <conditionalFormatting sqref="Y69:Y88">
    <cfRule type="dataBar" priority="3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{d65f9561-6b22-4e3c-8423-6241ec04f8ae}</x14:id>
        </ext>
      </extLst>
    </cfRule>
    <cfRule type="dataBar" priority="3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{60e5e13b-1679-4fa5-abe4-fc276cb9915d}</x14:id>
        </ext>
      </extLst>
    </cfRule>
  </conditionalFormatting>
  <conditionalFormatting sqref="Y79:Y88">
    <cfRule type="dataBar" priority="2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{01a1e38e-470d-4e66-a4a1-b1a70c983a03}</x14:id>
        </ext>
      </extLst>
    </cfRule>
  </conditionalFormatting>
  <conditionalFormatting sqref="AB117:AB126">
    <cfRule type="dataBar" priority="2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{151e36dc-9885-4c5d-a828-c9d2ab87320e}</x14:id>
        </ext>
      </extLst>
    </cfRule>
  </conditionalFormatting>
  <conditionalFormatting sqref="AD58:AE59">
    <cfRule type="dataBar" priority="377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{cec5ad10-ca07-4234-bc94-1410f42c3eac}</x14:id>
        </ext>
      </extLst>
    </cfRule>
  </conditionalFormatting>
  <conditionalFormatting sqref="AD62:AE65">
    <cfRule type="dataBar" priority="376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{8c87b5a1-1fef-4ded-a23d-305f516f904e}</x14:id>
        </ext>
      </extLst>
    </cfRule>
  </conditionalFormatting>
  <conditionalFormatting sqref="F69 F74 F79 F84">
    <cfRule type="dataBar" priority="5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{43b7fbd9-478c-4361-bdbd-c2cd818722fb}</x14:id>
        </ext>
      </extLst>
    </cfRule>
    <cfRule type="dataBar" priority="5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{5ab562b6-eae1-4b51-b1d5-e9c5f59f648a}</x14:id>
        </ext>
      </extLst>
    </cfRule>
    <cfRule type="dataBar" priority="58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{187ff01a-e5de-4110-9eec-73ca88eee62c}</x14:id>
        </ext>
      </extLst>
    </cfRule>
  </conditionalFormatting>
  <conditionalFormatting sqref="K69 K79 K89 K103">
    <cfRule type="dataBar" priority="4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{282c3beb-e5ce-42a1-9e01-81754524a114}</x14:id>
        </ext>
      </extLst>
    </cfRule>
    <cfRule type="dataBar" priority="4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{7f5145ad-6d4f-4f26-a5b8-b8460c81c0c4}</x14:id>
        </ext>
      </extLst>
    </cfRule>
    <cfRule type="dataBar" priority="4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{57c16abc-556c-4cfc-92fe-2962734d32d7}</x14:id>
        </ext>
      </extLst>
    </cfRule>
  </conditionalFormatting>
  <conditionalFormatting sqref="AB79 AB89">
    <cfRule type="dataBar" priority="1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{77efc349-6625-4873-84f1-863f26d49867}</x14:id>
        </ext>
      </extLst>
    </cfRule>
    <cfRule type="dataBar" priority="1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{4187ce8d-678a-41d6-8e78-2c13f1bc3551}</x14:id>
        </ext>
      </extLst>
    </cfRule>
    <cfRule type="dataBar" priority="18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{cfd4be2a-6d08-43db-9107-d62eddcd8084}</x14:id>
        </ext>
      </extLst>
    </cfRule>
  </conditionalFormatting>
  <conditionalFormatting sqref="F89 F96 F103 F110">
    <cfRule type="dataBar" priority="5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{8a453f3f-2dc3-415d-b2fd-1771b08adc77}</x14:id>
        </ext>
      </extLst>
    </cfRule>
    <cfRule type="dataBar" priority="5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{97347ff3-fb99-4728-b587-cdac1cf718ef}</x14:id>
        </ext>
      </extLst>
    </cfRule>
    <cfRule type="dataBar" priority="5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{4072e247-1da5-4350-8dd9-09586db98465}</x14:id>
        </ext>
      </extLst>
    </cfRule>
  </conditionalFormatting>
  <conditionalFormatting sqref="Y89 Y103">
    <cfRule type="dataBar" priority="2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{77651a44-7fe1-4de3-b5ed-f40e6a09aaaa}</x14:id>
        </ext>
      </extLst>
    </cfRule>
    <cfRule type="dataBar" priority="2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{ec1eb2a8-6d41-45f7-bc0a-2b0a543edede}</x14:id>
        </ext>
      </extLst>
    </cfRule>
  </conditionalFormatting>
  <conditionalFormatting sqref="F117 F122 F127 F132 F137 F142 F147 F152">
    <cfRule type="dataBar" priority="5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{3c071671-9426-43f0-a66b-55af7ccfe87c}</x14:id>
        </ext>
      </extLst>
    </cfRule>
    <cfRule type="dataBar" priority="5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{90fde38d-c8ff-4254-b66c-966cdf351382}</x14:id>
        </ext>
      </extLst>
    </cfRule>
    <cfRule type="dataBar" priority="5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{01616a70-5d02-41e4-abb0-78d059ea914d}</x14:id>
        </ext>
      </extLst>
    </cfRule>
  </conditionalFormatting>
  <conditionalFormatting sqref="K117 K127">
    <cfRule type="dataBar" priority="4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{58b21f1c-820e-4a6d-b358-44bee975068d}</x14:id>
        </ext>
      </extLst>
    </cfRule>
    <cfRule type="dataBar" priority="4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{3e503417-7c1d-4d47-ab54-8ef954f10c97}</x14:id>
        </ext>
      </extLst>
    </cfRule>
    <cfRule type="dataBar" priority="46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{fd73e285-9250-47a1-995e-e2d05490b0c7}</x14:id>
        </ext>
      </extLst>
    </cfRule>
  </conditionalFormatting>
  <conditionalFormatting sqref="Y117 Y127">
    <cfRule type="dataBar" priority="2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{0dae4def-54fd-4970-8677-2a230be96379}</x14:id>
        </ext>
      </extLst>
    </cfRule>
    <cfRule type="dataBar" priority="2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{0024592a-a6fc-4abd-800f-e5b84abf6385}</x14:id>
        </ext>
      </extLst>
    </cfRule>
  </conditionalFormatting>
  <conditionalFormatting sqref="L159:M178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{56809529-520b-4f48-aaff-67c1dbf92bd7}</x14:id>
        </ext>
      </extLst>
    </cfRule>
  </conditionalFormatting>
  <conditionalFormatting sqref="L159:M174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{02650954-ac65-4af6-9eef-40a479c38da0}</x14:id>
        </ext>
      </extLst>
    </cfRule>
    <cfRule type="dataBar" priority="5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{08a10f65-4465-450d-ae2a-9848e84d3413}</x14:id>
        </ext>
      </extLst>
    </cfRule>
    <cfRule type="dataBar" priority="4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{618d895f-82c9-4290-8bd5-be7001725db3}</x14:id>
        </ext>
      </extLst>
    </cfRule>
  </conditionalFormatting>
  <conditionalFormatting sqref="L159:M166">
    <cfRule type="dataBar" priority="3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{1873b8b5-46b7-428c-b66a-fa29315cf95f}</x14:id>
        </ext>
      </extLst>
    </cfRule>
  </conditionalFormatting>
  <conditionalFormatting sqref="L167:M174">
    <cfRule type="dataBar" priority="2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{a3d9b015-d071-4a68-bb90-6069dfa26ac4}</x14:id>
        </ext>
      </extLst>
    </cfRule>
  </conditionalFormatting>
  <conditionalFormatting sqref="L175:M17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{2fd9d8a2-0924-4980-b8cf-4a942907cb9f}</x14:id>
        </ext>
      </extLst>
    </cfRule>
    <cfRule type="dataBar" priority="1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{86cd50e8-89ab-4ef1-86ed-b086721c3c6c}</x14:id>
        </ext>
      </extLst>
    </cfRule>
  </conditionalFormatting>
  <dataValidations count="7">
    <dataValidation type="list" allowBlank="1" showInputMessage="1" showErrorMessage="1" sqref="D2:H2">
      <formula1>"白,夜"</formula1>
    </dataValidation>
    <dataValidation type="list" allowBlank="1" showInputMessage="1" showErrorMessage="1" sqref="L2:N2">
      <formula1>"晴,多云,小雨,大雨,阴,雾,霾"</formula1>
    </dataValidation>
    <dataValidation allowBlank="1" showInputMessage="1" showErrorMessage="1" sqref="E5:F5 G7:O7 S7:AE7 G16:G18 S15:T18"/>
    <dataValidation type="list" allowBlank="1" showInputMessage="1" showErrorMessage="1" sqref="G5:H5">
      <formula1>"配电,弱电,暖通,消防,其他"</formula1>
    </dataValidation>
    <dataValidation type="list" allowBlank="1" showInputMessage="1" showErrorMessage="1" sqref="AB5">
      <formula1>"低,中,高"</formula1>
    </dataValidation>
    <dataValidation type="list" allowBlank="1" showInputMessage="1" showErrorMessage="1" sqref="G6:I6 P6:R6">
      <formula1>"A班,B班,C班,D班"</formula1>
    </dataValidation>
    <dataValidation type="list" allowBlank="1" showInputMessage="1" showErrorMessage="1" sqref="A11:B18 A20:B51">
      <formula1>"A楼,B楼,C楼,D楼,E楼"</formula1>
    </dataValidation>
  </dataValidations>
  <pageMargins left="0.75" right="0.75" top="1" bottom="1" header="0.5" footer="0.5"/>
  <pageSetup paperSize="9" scale="19" orientation="portrait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8c5f5-8399-452b-aaa2-e8b522bcbae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f48e670-e437-4a1e-9230-e9d9b46552c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efdeb6a2-13bd-445f-a8dc-f07f31133a73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855f2798-6d67-41cd-88e2-c89b8800ce42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687da2b1-150d-43a1-9495-3167e5e87b1e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1558842e-5608-48bd-b4f9-2e821e24fa7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4f558f3-353c-49d2-a5bc-10c17805dd0d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efc324f8-9c4d-491a-b679-57883da0c875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AD58</xm:sqref>
        </x14:conditionalFormatting>
        <x14:conditionalFormatting xmlns:xm="http://schemas.microsoft.com/office/excel/2006/main">
          <x14:cfRule type="dataBar" id="{e0ff6215-2cbb-454c-b8c4-b2657dd3849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ada61c9-8abf-40ad-993b-6188270f77c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d138b58-7e19-4a31-b588-022f5b0291ab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f6cfe525-ddf7-4213-ac1d-b2e0d1c07b8a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3b14ec91-4e7b-4d06-976d-b8dd696e0541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4830e364-f3f3-4c41-a7a0-a9602c99d4b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704e312-5517-429a-a4b2-4f45c4ee0447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6e41048a-7200-458d-b221-0b479405598f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K62</xm:sqref>
        </x14:conditionalFormatting>
        <x14:conditionalFormatting xmlns:xm="http://schemas.microsoft.com/office/excel/2006/main">
          <x14:cfRule type="dataBar" id="{fc7433db-5472-4cbf-a1f9-00f185fa53d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4fa312b-c35f-4eaf-928d-ebc2e24d7b8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240ad62-8d2f-46e7-94bc-ad0dab6f0fba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17dea9c9-4aa1-455f-8a11-b5c1d6612f4c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af820933-ffdd-4a97-a790-3cabe79ffbc9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6f2616d7-973e-42ac-a52f-9e48834f99c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65cca4d8-b0ee-47c8-924d-7ff2125443a7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dc7a494e-cedf-4459-810f-ccea952bda9d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AD62</xm:sqref>
        </x14:conditionalFormatting>
        <x14:conditionalFormatting xmlns:xm="http://schemas.microsoft.com/office/excel/2006/main">
          <x14:cfRule type="dataBar" id="{3191d31d-8b73-467a-a8e5-6d45ecafc47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702bbd8-b1a9-4af0-b79b-8ae7668c80e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cf52f79-8631-4d36-b739-0b7b53ea6271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0bb4b56b-c043-455f-854e-2886c4ae7560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a793fd34-4ff2-4fd6-8613-8780e2d87bac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5d917e84-5bd8-4d73-97ed-74b819fe175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3d7137e3-1da3-4c8c-ae49-9799835f57a2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0a24fe1e-6c9b-46a3-b8dc-ca9a475139fd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K63</xm:sqref>
        </x14:conditionalFormatting>
        <x14:conditionalFormatting xmlns:xm="http://schemas.microsoft.com/office/excel/2006/main">
          <x14:cfRule type="dataBar" id="{780e9ed2-58c5-4ee3-8624-6a46c01ec6f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b01649d-7c6e-46cf-8481-7c02d14bc5a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70cf95c-4cfa-469e-a3a2-70b782d1a45f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0e99b6f1-35a4-4b59-b866-f7dd14e16301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e917eced-c90e-469e-bb34-9d76692636f8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c4b9373c-c4bd-453c-aa12-668f8033287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c2cb63ba-140d-4a19-8ee6-96a4af7bc6f1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c01e2054-e260-4fc3-82da-98ad8ef831bd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K64</xm:sqref>
        </x14:conditionalFormatting>
        <x14:conditionalFormatting xmlns:xm="http://schemas.microsoft.com/office/excel/2006/main">
          <x14:cfRule type="dataBar" id="{494c38ec-c435-4aba-a730-c404fc393d9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a06a566-fb4e-4020-b29e-8799d507699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dae7389-357d-4127-b97b-9536964ca327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68904388-b2f1-41e2-bc05-16120072933f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1e3d6090-e947-4a37-a66a-3d11455ba7ed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99b63241-e495-477b-9515-200da250a24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56d208a-2128-4e0b-b8f9-860e23493289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a7c1f6b6-9cd9-4be0-9840-663a7634b520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K65</xm:sqref>
        </x14:conditionalFormatting>
        <x14:conditionalFormatting xmlns:xm="http://schemas.microsoft.com/office/excel/2006/main">
          <x14:cfRule type="dataBar" id="{75a091de-005e-49f3-b9fa-b6f12c341520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5b27e5-d4f4-406b-aebb-a407eeb96733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a5f25ac-e317-4e87-b909-121526f27d26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AB69</xm:sqref>
        </x14:conditionalFormatting>
        <x14:conditionalFormatting xmlns:xm="http://schemas.microsoft.com/office/excel/2006/main">
          <x14:cfRule type="dataBar" id="{c5fcb8c0-5448-42be-8bd1-6090a5a29f97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170161-541e-4ac4-9fc1-d57e0ee99c33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c9d4a54-1c23-443a-8d8b-2ef22e28845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AB103</xm:sqref>
        </x14:conditionalFormatting>
        <x14:conditionalFormatting xmlns:xm="http://schemas.microsoft.com/office/excel/2006/main">
          <x14:cfRule type="dataBar" id="{a870dfec-51c5-4980-9a4c-49aada3da9a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ab5203a-8f5a-4d28-881b-498af399bd1d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AB117</xm:sqref>
        </x14:conditionalFormatting>
        <x14:conditionalFormatting xmlns:xm="http://schemas.microsoft.com/office/excel/2006/main">
          <x14:cfRule type="dataBar" id="{45e9604c-a225-454a-8d0e-e1cb9771c87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9aaffa-617e-429a-9a9d-c9b12b7b8283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28b050a-9d6e-420a-a7d0-a74c650d4cb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AB127</xm:sqref>
        </x14:conditionalFormatting>
        <x14:conditionalFormatting xmlns:xm="http://schemas.microsoft.com/office/excel/2006/main">
          <x14:cfRule type="dataBar" id="{c7de182d-6af3-4502-9874-3ad239b030bd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6bac22-3f0d-430c-b54b-26ba1569a39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b2028a1-c16b-40e8-9dc1-0b5dfdefdef6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K137</xm:sqref>
        </x14:conditionalFormatting>
        <x14:conditionalFormatting xmlns:xm="http://schemas.microsoft.com/office/excel/2006/main">
          <x14:cfRule type="dataBar" id="{daab12a3-54f7-48d7-8776-5f67567ab289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ab9981-845b-4c3f-b2a2-77fbc335457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e7cf5723-25e4-4af0-bbb3-99285e6c261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K142</xm:sqref>
        </x14:conditionalFormatting>
        <x14:conditionalFormatting xmlns:xm="http://schemas.microsoft.com/office/excel/2006/main">
          <x14:cfRule type="dataBar" id="{e8814d0b-d661-48be-a40f-985dd05ecb3d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cf7a47-c6da-48e4-9fdb-c2ec3861c48e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faa99de-6435-4506-97e1-ff3dc5fe97e6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K147</xm:sqref>
        </x14:conditionalFormatting>
        <x14:conditionalFormatting xmlns:xm="http://schemas.microsoft.com/office/excel/2006/main">
          <x14:cfRule type="dataBar" id="{557674a9-d61a-44b0-85be-4e06db7dcc81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acf8d5-75c4-4d97-a5c9-32f7c8bf33a9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806a512-8838-4592-b2f7-cc401e179ba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K152</xm:sqref>
        </x14:conditionalFormatting>
        <x14:conditionalFormatting xmlns:xm="http://schemas.microsoft.com/office/excel/2006/main">
          <x14:cfRule type="dataBar" id="{3ebb3191-f28b-44ac-ad52-aa29015d27f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b98aeda-9e85-4ce1-961a-6bf3021bc04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700a825-d4d0-4a2c-beed-141ddaee67a1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01d8b01d-ba46-4fae-8755-1032dd768868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2ac95ae6-b1a0-41c9-bd17-e231c7468929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cee55df6-3430-4d05-9b01-d52efe6fa5d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cf9b965-8872-4d68-bb21-f7d8cd86f7ec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e3ef02cf-2871-4ca2-9bf1-3d3c5a637a30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K59:K60</xm:sqref>
        </x14:conditionalFormatting>
        <x14:conditionalFormatting xmlns:xm="http://schemas.microsoft.com/office/excel/2006/main">
          <x14:cfRule type="dataBar" id="{d65f9561-6b22-4e3c-8423-6241ec04f8ae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e5e13b-1679-4fa5-abe4-fc276cb9915d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Y69:Y88</xm:sqref>
        </x14:conditionalFormatting>
        <x14:conditionalFormatting xmlns:xm="http://schemas.microsoft.com/office/excel/2006/main">
          <x14:cfRule type="dataBar" id="{01a1e38e-470d-4e66-a4a1-b1a70c983a03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Y79:Y88</xm:sqref>
        </x14:conditionalFormatting>
        <x14:conditionalFormatting xmlns:xm="http://schemas.microsoft.com/office/excel/2006/main">
          <x14:cfRule type="dataBar" id="{151e36dc-9885-4c5d-a828-c9d2ab87320e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AB117:AB126</xm:sqref>
        </x14:conditionalFormatting>
        <x14:conditionalFormatting xmlns:xm="http://schemas.microsoft.com/office/excel/2006/main">
          <x14:cfRule type="dataBar" id="{cec5ad10-ca07-4234-bc94-1410f42c3ea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AD58:AE59</xm:sqref>
        </x14:conditionalFormatting>
        <x14:conditionalFormatting xmlns:xm="http://schemas.microsoft.com/office/excel/2006/main">
          <x14:cfRule type="dataBar" id="{8c87b5a1-1fef-4ded-a23d-305f516f904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AD62:AE65</xm:sqref>
        </x14:conditionalFormatting>
        <x14:conditionalFormatting xmlns:xm="http://schemas.microsoft.com/office/excel/2006/main">
          <x14:cfRule type="dataBar" id="{43b7fbd9-478c-4361-bdbd-c2cd818722fb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b562b6-eae1-4b51-b1d5-e9c5f59f648a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87ff01a-e5de-4110-9eec-73ca88eee62c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F69 F74 F79 F84</xm:sqref>
        </x14:conditionalFormatting>
        <x14:conditionalFormatting xmlns:xm="http://schemas.microsoft.com/office/excel/2006/main">
          <x14:cfRule type="dataBar" id="{282c3beb-e5ce-42a1-9e01-81754524a114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5145ad-6d4f-4f26-a5b8-b8460c81c0c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7c16abc-556c-4cfc-92fe-2962734d32d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K69 K79 K89 K103</xm:sqref>
        </x14:conditionalFormatting>
        <x14:conditionalFormatting xmlns:xm="http://schemas.microsoft.com/office/excel/2006/main">
          <x14:cfRule type="dataBar" id="{77efc349-6625-4873-84f1-863f26d49867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87ce8d-678a-41d6-8e78-2c13f1bc3551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fd4be2a-6d08-43db-9107-d62eddcd808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AB79 AB89</xm:sqref>
        </x14:conditionalFormatting>
        <x14:conditionalFormatting xmlns:xm="http://schemas.microsoft.com/office/excel/2006/main">
          <x14:cfRule type="dataBar" id="{8a453f3f-2dc3-415d-b2fd-1771b08adc77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347ff3-fb99-4728-b587-cdac1cf718ef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072e247-1da5-4350-8dd9-09586db9846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F89 F96 F103 F110</xm:sqref>
        </x14:conditionalFormatting>
        <x14:conditionalFormatting xmlns:xm="http://schemas.microsoft.com/office/excel/2006/main">
          <x14:cfRule type="dataBar" id="{77651a44-7fe1-4de3-b5ed-f40e6a09aaaa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1eb2a8-6d41-45f7-bc0a-2b0a543edede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Y89 Y103</xm:sqref>
        </x14:conditionalFormatting>
        <x14:conditionalFormatting xmlns:xm="http://schemas.microsoft.com/office/excel/2006/main">
          <x14:cfRule type="dataBar" id="{3c071671-9426-43f0-a66b-55af7ccfe87c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fde38d-c8ff-4254-b66c-966cdf351382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1616a70-5d02-41e4-abb0-78d059ea914d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F117 F122 F127 F132 F137 F142 F147 F152</xm:sqref>
        </x14:conditionalFormatting>
        <x14:conditionalFormatting xmlns:xm="http://schemas.microsoft.com/office/excel/2006/main">
          <x14:cfRule type="dataBar" id="{58b21f1c-820e-4a6d-b358-44bee975068d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503417-7c1d-4d47-ab54-8ef954f10c9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d73e285-9250-47a1-995e-e2d05490b0c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K117 K127</xm:sqref>
        </x14:conditionalFormatting>
        <x14:conditionalFormatting xmlns:xm="http://schemas.microsoft.com/office/excel/2006/main">
          <x14:cfRule type="dataBar" id="{0dae4def-54fd-4970-8677-2a230be96379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24592a-a6fc-4abd-800f-e5b84abf638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Y117 Y127</xm:sqref>
        </x14:conditionalFormatting>
        <x14:conditionalFormatting xmlns:xm="http://schemas.microsoft.com/office/excel/2006/main">
          <x14:cfRule type="dataBar" id="{56809529-520b-4f48-aaff-67c1dbf92b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L159:M178</xm:sqref>
        </x14:conditionalFormatting>
        <x14:conditionalFormatting xmlns:xm="http://schemas.microsoft.com/office/excel/2006/main">
          <x14:cfRule type="dataBar" id="{02650954-ac65-4af6-9eef-40a479c38d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8a10f65-4465-450d-ae2a-9848e84d3413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618d895f-82c9-4290-8bd5-be7001725db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L159:M174</xm:sqref>
        </x14:conditionalFormatting>
        <x14:conditionalFormatting xmlns:xm="http://schemas.microsoft.com/office/excel/2006/main">
          <x14:cfRule type="dataBar" id="{1873b8b5-46b7-428c-b66a-fa29315cf95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L159:M166</xm:sqref>
        </x14:conditionalFormatting>
        <x14:conditionalFormatting xmlns:xm="http://schemas.microsoft.com/office/excel/2006/main">
          <x14:cfRule type="dataBar" id="{a3d9b015-d071-4a68-bb90-6069dfa26ac4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L167:M174</xm:sqref>
        </x14:conditionalFormatting>
        <x14:conditionalFormatting xmlns:xm="http://schemas.microsoft.com/office/excel/2006/main">
          <x14:cfRule type="dataBar" id="{2fd9d8a2-0924-4980-b8cf-4a942907cb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6cd50e8-89ab-4ef1-86ed-b086721c3c6c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L175:M178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J15" sqref="J15"/>
    </sheetView>
  </sheetViews>
  <sheetFormatPr defaultColWidth="9" defaultRowHeight="14" outlineLevelRow="5"/>
  <cols>
    <col min="1" max="1" width="26.8818181818182" style="1" customWidth="1"/>
    <col min="2" max="2" width="9.38181818181818" style="1" customWidth="1"/>
    <col min="3" max="3" width="9.21818181818182" style="1" customWidth="1"/>
    <col min="18" max="18" width="9.38181818181818" style="1" customWidth="1"/>
  </cols>
  <sheetData>
    <row r="1" spans="1:18">
      <c r="A1" s="2" t="s">
        <v>396</v>
      </c>
      <c r="B1" s="3" t="s">
        <v>397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  <c r="I1" s="3" t="s">
        <v>404</v>
      </c>
      <c r="J1" s="3" t="s">
        <v>405</v>
      </c>
      <c r="K1" s="3" t="s">
        <v>406</v>
      </c>
      <c r="L1" s="3" t="s">
        <v>407</v>
      </c>
      <c r="M1" s="3" t="s">
        <v>408</v>
      </c>
      <c r="N1" s="3" t="s">
        <v>409</v>
      </c>
      <c r="O1" s="3" t="s">
        <v>410</v>
      </c>
      <c r="P1" s="3" t="s">
        <v>411</v>
      </c>
      <c r="Q1" s="3" t="s">
        <v>412</v>
      </c>
      <c r="R1" s="3" t="s">
        <v>413</v>
      </c>
    </row>
    <row r="2" spans="1:18">
      <c r="A2" s="3" t="s">
        <v>414</v>
      </c>
      <c r="B2" s="4">
        <v>36.11</v>
      </c>
      <c r="C2" s="4">
        <v>47.21</v>
      </c>
      <c r="D2" s="5">
        <v>79.76</v>
      </c>
      <c r="E2" s="5">
        <v>80.65</v>
      </c>
      <c r="F2" s="5">
        <v>80.27</v>
      </c>
      <c r="G2" s="5">
        <v>78.83</v>
      </c>
      <c r="H2" s="5">
        <v>79.23</v>
      </c>
      <c r="I2" s="5">
        <v>78.95</v>
      </c>
      <c r="J2" s="5">
        <v>79.46</v>
      </c>
      <c r="K2" s="5">
        <v>78.25</v>
      </c>
      <c r="L2" s="5">
        <v>78.23</v>
      </c>
      <c r="M2" s="5">
        <v>80.08</v>
      </c>
      <c r="N2" s="5">
        <v>79.28</v>
      </c>
      <c r="O2" s="5">
        <v>79.3</v>
      </c>
      <c r="P2" s="5">
        <v>79.38</v>
      </c>
      <c r="Q2" s="5">
        <v>79.48</v>
      </c>
      <c r="R2" s="3"/>
    </row>
    <row r="3" spans="1:18">
      <c r="A3" s="3" t="s">
        <v>415</v>
      </c>
      <c r="B3" s="6">
        <v>12689.5</v>
      </c>
      <c r="C3" s="6">
        <v>16615.58</v>
      </c>
      <c r="D3" s="7">
        <v>801.22</v>
      </c>
      <c r="E3" s="7">
        <v>807.87</v>
      </c>
      <c r="F3" s="7">
        <v>803.82</v>
      </c>
      <c r="G3" s="7">
        <v>790.36</v>
      </c>
      <c r="H3" s="7">
        <v>799.66</v>
      </c>
      <c r="I3" s="7">
        <v>791.34</v>
      </c>
      <c r="J3" s="7">
        <v>795.61</v>
      </c>
      <c r="K3" s="7">
        <v>783.56</v>
      </c>
      <c r="L3" s="7">
        <v>784.22</v>
      </c>
      <c r="M3" s="7">
        <v>802.77</v>
      </c>
      <c r="N3" s="7">
        <v>806.57</v>
      </c>
      <c r="O3" s="7">
        <v>794.49</v>
      </c>
      <c r="P3" s="7">
        <v>801.54</v>
      </c>
      <c r="Q3" s="7">
        <v>795.54</v>
      </c>
      <c r="R3" s="8">
        <f>SUM(B3:Q3)</f>
        <v>40463.65</v>
      </c>
    </row>
    <row r="4" ht="28" customHeight="1" spans="1:18">
      <c r="A4" s="9" t="s">
        <v>416</v>
      </c>
      <c r="B4" s="7">
        <f t="shared" ref="B4:O4" si="0">B3*0.86/1000</f>
        <v>10.91297</v>
      </c>
      <c r="C4" s="7">
        <f t="shared" si="0"/>
        <v>14.2893988</v>
      </c>
      <c r="D4" s="7">
        <f t="shared" si="0"/>
        <v>0.6890492</v>
      </c>
      <c r="E4" s="7">
        <f t="shared" si="0"/>
        <v>0.6947682</v>
      </c>
      <c r="F4" s="7">
        <f t="shared" si="0"/>
        <v>0.6912852</v>
      </c>
      <c r="G4" s="7">
        <f t="shared" si="0"/>
        <v>0.6797096</v>
      </c>
      <c r="H4" s="7">
        <f t="shared" si="0"/>
        <v>0.6877076</v>
      </c>
      <c r="I4" s="7">
        <f t="shared" si="0"/>
        <v>0.6805524</v>
      </c>
      <c r="J4" s="7">
        <f t="shared" si="0"/>
        <v>0.6842246</v>
      </c>
      <c r="K4" s="7">
        <f t="shared" si="0"/>
        <v>0.6738616</v>
      </c>
      <c r="L4" s="7">
        <f t="shared" si="0"/>
        <v>0.6744292</v>
      </c>
      <c r="M4" s="7">
        <f t="shared" si="0"/>
        <v>0.6903822</v>
      </c>
      <c r="N4" s="7">
        <f t="shared" si="0"/>
        <v>0.6936502</v>
      </c>
      <c r="O4" s="7">
        <f t="shared" si="0"/>
        <v>0.6832614</v>
      </c>
      <c r="P4" s="7">
        <v>0.63</v>
      </c>
      <c r="Q4" s="7">
        <v>0.62</v>
      </c>
      <c r="R4" s="8">
        <f>SUM(B4:Q4)</f>
        <v>34.6752502</v>
      </c>
    </row>
    <row r="6" spans="1:18">
      <c r="A6" t="s">
        <v>417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数据1_1_1_3_1_1_1_1" rangeCreator="" othersAccessPermission="edit"/>
    <arrUserId title="数据2_1_1_2_1_1_1_1_1_1_1_1_3_2_2_3_4_2_1_4_1" rangeCreator="" othersAccessPermission="edit"/>
    <arrUserId title="数据2_1_1_1_1_1_1_1_1_2_1_2_1_1_3_1_4_2_1_3_1_1" rangeCreator="" othersAccessPermission="edit"/>
    <arrUserId title="数据1_2_1_1_1_1_1" rangeCreator="" othersAccessPermission="edit"/>
    <arrUserId title="数据1_1_1_4_1_1_1_1_1_1" rangeCreator="" othersAccessPermission="edit"/>
    <arrUserId title="数据1_2_1_2_1_1" rangeCreator="" othersAccessPermission="edit"/>
    <arrUserId title="数据1_1_1_5_1_1_1_2" rangeCreator="" othersAccessPermission="edit"/>
    <arrUserId title="数据2_1_1_1_1_1_1_1_1_1_5_1_1_1_1_1_1_1_4_2_1_3_1" rangeCreator="" othersAccessPermission="edit"/>
    <arrUserId title="数据1_1_1_4_1_1_1" rangeCreator="" othersAccessPermission="edit"/>
    <arrUserId title="数据1_1_1_1_1_1_1_2_1" rangeCreator="" othersAccessPermission="edit"/>
    <arrUserId title="数据1_1_1_4_1_1_1_1_1_1_1" rangeCreator="" othersAccessPermission="edit"/>
    <arrUserId title="数据2_1_1_2_1_1_1_1_1_1_1_1_3_2_2_3_4_2_1_4" rangeCreator="" othersAccessPermission="edit"/>
    <arrUserId title="数据1_2_1_2_1_1_1" rangeCreator="" othersAccessPermission="edit"/>
    <arrUserId title="数据1_1_1_6_1_1_2" rangeCreator="" othersAccessPermission="edit"/>
    <arrUserId title="数据1_1_1_5_1_1_1_2_1" rangeCreator="" othersAccessPermission="edit"/>
    <arrUserId title="数据2_1_1_1_1_1_1_1_1_2_1_2_1_1_3_1_4_2_1_3_1" rangeCreator="" othersAccessPermission="edit"/>
    <arrUserId title="数据2_1_1_1_1_1_1_1_1_1_5_1_1_1_1_1_1_1_4_2_1_3_1_1" rangeCreator="" othersAccessPermission="edit"/>
    <arrUserId title="数据1_1_1_3_1_1_1_1_1" rangeCreator="" othersAccessPermission="edit"/>
    <arrUserId title="数据1_1_1_4_1_1_1_1" rangeCreator="" othersAccessPermission="edit"/>
    <arrUserId title="数据1_2_1_1_1_1" rangeCreator="" othersAccessPermission="edit"/>
    <arrUserId title="数据1_1_1_1_1_1_1_2_1_1" rangeCreator="" othersAccessPermission="edit"/>
    <arrUserId title="数据1_1_1_6_1_1_3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本班组</vt:lpstr>
      <vt:lpstr>油量附表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梅冰冰</dc:creator>
  <cp:lastModifiedBy>皮皮瞎</cp:lastModifiedBy>
  <dcterms:created xsi:type="dcterms:W3CDTF">2020-05-01T14:43:00Z</dcterms:created>
  <dcterms:modified xsi:type="dcterms:W3CDTF">2026-10-13T06:17:55Z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KSOReadingLayout">
    <vt:bool>false</vt:bool>
  </property>
  <property fmtid="{D5CDD505-2E9C-101B-9397-08002B2CF9AE}" pid="4" name="ICV">
    <vt:lpwstr>DF80DC6E670A415A8F2FBD3B54B72C3C_13</vt:lpwstr>
  </property>
  <property fmtid="{D5CDD505-2E9C-101B-9397-08002B2CF9AE}" pid="5" name="CalculationRule">
    <vt:i4>0</vt:i4>
  </property>
</Properties>
</file>