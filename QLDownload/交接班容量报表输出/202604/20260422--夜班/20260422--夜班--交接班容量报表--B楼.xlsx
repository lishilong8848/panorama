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本班组" sheetId="1" state="visible" r:id="rId1"/>
    <sheet name="油量附表" sheetId="2" state="visible" r:id="rId2"/>
  </sheets>
  <definedNames>
    <definedName name="欧0">本班组!$U$17</definedName>
    <definedName name="_xlnm.Print_Area" localSheetId="0">'本班组'!$A$2:$AG$154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;[Red]0.00"/>
    <numFmt numFmtId="166" formatCode="0.00_);[Red]\(0.00\)"/>
    <numFmt numFmtId="167" formatCode="0.0_ "/>
  </numFmts>
  <fonts count="43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等线"/>
      <charset val="134"/>
      <b val="1"/>
      <sz val="11"/>
    </font>
    <font>
      <name val="宋体"/>
      <charset val="134"/>
      <sz val="14"/>
      <scheme val="minor"/>
    </font>
    <font>
      <name val="宋体"/>
      <charset val="134"/>
      <sz val="12"/>
      <scheme val="minor"/>
    </font>
    <font>
      <name val="宋体"/>
      <charset val="134"/>
      <sz val="12"/>
    </font>
    <font>
      <name val="宋体"/>
      <charset val="134"/>
      <color theme="1"/>
      <sz val="16"/>
      <scheme val="minor"/>
    </font>
    <font>
      <name val="宋体"/>
      <charset val="1"/>
      <color indexed="8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color rgb="FFFFFFFF"/>
      <sz val="16"/>
    </font>
    <font>
      <name val="宋体"/>
      <charset val="134"/>
      <b val="1"/>
      <color theme="0"/>
      <sz val="1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9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</font>
    <font>
      <name val="宋体"/>
      <charset val="134"/>
      <b val="1"/>
      <color theme="0"/>
      <sz val="14"/>
      <scheme val="minor"/>
    </font>
    <font>
      <name val="等线"/>
      <charset val="134"/>
      <color indexed="8"/>
      <sz val="9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rgb="FF000000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0" fillId="12" borderId="3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31" applyAlignment="1">
      <alignment vertical="center"/>
    </xf>
    <xf numFmtId="0" fontId="29" fillId="0" borderId="31" applyAlignment="1">
      <alignment vertical="center"/>
    </xf>
    <xf numFmtId="0" fontId="30" fillId="0" borderId="32" applyAlignment="1">
      <alignment vertical="center"/>
    </xf>
    <xf numFmtId="0" fontId="30" fillId="0" borderId="0" applyAlignment="1">
      <alignment vertical="center"/>
    </xf>
    <xf numFmtId="0" fontId="31" fillId="13" borderId="33" applyAlignment="1">
      <alignment vertical="center"/>
    </xf>
    <xf numFmtId="0" fontId="32" fillId="14" borderId="34" applyAlignment="1">
      <alignment vertical="center"/>
    </xf>
    <xf numFmtId="0" fontId="33" fillId="14" borderId="33" applyAlignment="1">
      <alignment vertical="center"/>
    </xf>
    <xf numFmtId="0" fontId="34" fillId="15" borderId="35" applyAlignment="1">
      <alignment vertical="center"/>
    </xf>
    <xf numFmtId="0" fontId="35" fillId="0" borderId="36" applyAlignment="1">
      <alignment vertical="center"/>
    </xf>
    <xf numFmtId="0" fontId="36" fillId="0" borderId="37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4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41" fillId="31" borderId="0" applyAlignment="1">
      <alignment vertical="center"/>
    </xf>
    <xf numFmtId="0" fontId="41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41" fillId="35" borderId="0" applyAlignment="1">
      <alignment vertical="center"/>
    </xf>
    <xf numFmtId="0" fontId="41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41" fillId="39" borderId="0" applyAlignment="1">
      <alignment vertical="center"/>
    </xf>
    <xf numFmtId="0" fontId="41" fillId="40" borderId="0" applyAlignment="1">
      <alignment vertical="center"/>
    </xf>
    <xf numFmtId="0" fontId="40" fillId="41" borderId="0" applyAlignment="1">
      <alignment vertical="center"/>
    </xf>
    <xf numFmtId="0" fontId="0" fillId="0" borderId="0" applyAlignment="1">
      <alignment vertical="center"/>
    </xf>
  </cellStyleXfs>
  <cellXfs count="16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31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2" fillId="4" borderId="5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pivotButton="0" quotePrefix="0" xfId="0"/>
    <xf numFmtId="3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1" fillId="4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9" fontId="0" fillId="3" borderId="1" applyAlignment="1" pivotButton="0" quotePrefix="0" xfId="3">
      <alignment horizontal="center" vertical="center"/>
    </xf>
    <xf numFmtId="0" fontId="0" fillId="0" borderId="7" pivotButton="0" quotePrefix="0" xfId="0"/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6" fillId="3" borderId="1" applyAlignment="1" pivotButton="0" quotePrefix="0" xfId="49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10" fontId="6" fillId="3" borderId="1" applyAlignment="1" pivotButton="0" quotePrefix="0" xfId="49">
      <alignment horizontal="center" vertical="center"/>
    </xf>
    <xf numFmtId="10" fontId="7" fillId="3" borderId="1" applyAlignment="1" pivotButton="0" quotePrefix="0" xfId="49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1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1" applyAlignment="1" pivotButton="0" quotePrefix="0" xfId="0">
      <alignment vertical="center"/>
    </xf>
    <xf numFmtId="166" fontId="7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3" borderId="1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3" borderId="18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164" fontId="0" fillId="3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 wrapText="1"/>
    </xf>
    <xf numFmtId="0" fontId="6" fillId="6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7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6" fillId="3" borderId="1" applyAlignment="1" pivotButton="0" quotePrefix="0" xfId="49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6" fillId="3" borderId="1" applyAlignment="1" pivotButton="0" quotePrefix="0" xfId="49">
      <alignment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8" pivotButton="0" quotePrefix="0" xfId="0"/>
    <xf numFmtId="164" fontId="6" fillId="6" borderId="1" applyAlignment="1" pivotButton="0" quotePrefix="0" xfId="49">
      <alignment horizontal="center" vertical="center" wrapText="1"/>
    </xf>
    <xf numFmtId="0" fontId="6" fillId="5" borderId="1" applyAlignment="1" pivotButton="0" quotePrefix="0" xfId="49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6" fillId="0" borderId="1" applyAlignment="1" pivotButton="0" quotePrefix="0" xfId="49">
      <alignment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58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3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7" borderId="21" applyAlignment="1" pivotButton="0" quotePrefix="0" xfId="0">
      <alignment horizontal="center" vertical="center"/>
    </xf>
    <xf numFmtId="0" fontId="0" fillId="0" borderId="21" pivotButton="0" quotePrefix="0" xfId="0"/>
    <xf numFmtId="0" fontId="12" fillId="8" borderId="1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22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16" fillId="3" borderId="2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/>
    </xf>
    <xf numFmtId="10" fontId="14" fillId="9" borderId="20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3" borderId="26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3" borderId="1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3" borderId="23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10" fontId="14" fillId="9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 wrapText="1"/>
    </xf>
    <xf numFmtId="10" fontId="0" fillId="3" borderId="0" applyAlignment="1" pivotButton="0" quotePrefix="0" xfId="0">
      <alignment horizontal="center" vertical="center"/>
    </xf>
    <xf numFmtId="0" fontId="18" fillId="8" borderId="5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8" fillId="8" borderId="9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 wrapText="1"/>
    </xf>
    <xf numFmtId="0" fontId="19" fillId="6" borderId="29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20" fillId="3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21" fillId="3" borderId="1" applyAlignment="1" pivotButton="0" quotePrefix="0" xfId="0">
      <alignment horizontal="center" vertical="center"/>
    </xf>
    <xf numFmtId="49" fontId="22" fillId="11" borderId="1" applyAlignment="1" pivotButton="0" quotePrefix="0" xfId="0">
      <alignment horizontal="center" vertical="center"/>
    </xf>
    <xf numFmtId="49" fontId="1" fillId="3" borderId="29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1" fillId="3" borderId="14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166" fontId="7" fillId="0" borderId="15" applyAlignment="1" pivotButton="0" quotePrefix="0" xfId="0">
      <alignment horizontal="center" vertical="center" wrapText="1"/>
    </xf>
    <xf numFmtId="166" fontId="7" fillId="0" borderId="19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164" fontId="6" fillId="6" borderId="1" applyAlignment="1" pivotButton="0" quotePrefix="0" xfId="49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  <author>何玲珑</author>
  </authors>
  <commentList>
    <comment ref="U16" authorId="0" shapeId="0">
      <text>
        <t>Dell:
工程组态-系统总览-点中燃油系统-测点信息</t>
      </text>
    </comment>
    <comment ref="AD35" authorId="1" shapeId="0">
      <text>
        <t>何玲珑:
以水处理厂家药剂处理而定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"/>
  <sheetViews>
    <sheetView tabSelected="1" view="pageBreakPreview" topLeftCell="A63" zoomScale="60" zoomScaleNormal="85" workbookViewId="0">
      <selection activeCell="AB30" sqref="AB30:AE32"/>
    </sheetView>
  </sheetViews>
  <sheetFormatPr baseColWidth="8" defaultColWidth="9" defaultRowHeight="14"/>
  <cols>
    <col width="18.1818181818182" customWidth="1" style="1" min="2" max="2"/>
    <col width="9" customWidth="1" style="1" min="3" max="3"/>
    <col width="9" customWidth="1" style="1" min="5" max="5"/>
    <col width="11.9363636363636" customWidth="1" style="1" min="6" max="6"/>
    <col width="9" customWidth="1" style="1" min="7" max="8"/>
    <col width="16.4090909090909" customWidth="1" style="1" min="9" max="9"/>
    <col width="9" customWidth="1" style="1" min="10" max="11"/>
    <col width="11.9363636363636" customWidth="1" style="1" min="12" max="12"/>
    <col width="9" customWidth="1" style="1" min="13" max="13"/>
    <col width="8.74545454545455" customWidth="1" style="1" min="14" max="14"/>
    <col width="38.1818181818182" customWidth="1" style="1" min="15" max="15"/>
    <col width="9" customWidth="1" style="1" min="16" max="18"/>
    <col width="12.5909090909091" customWidth="1" style="1" min="19" max="19"/>
    <col width="16.5090909090909" customWidth="1" style="1" min="20" max="20"/>
    <col width="9" customWidth="1" style="1" min="21" max="21"/>
    <col width="14.1545454545455" customWidth="1" style="1" min="22" max="22"/>
    <col width="9" customWidth="1" style="1" min="23" max="24"/>
    <col width="10.2545454545455" customWidth="1" style="1" min="25" max="25"/>
    <col width="9" customWidth="1" style="1" min="26" max="27"/>
    <col width="17.4181818181818" customWidth="1" style="1" min="28" max="28"/>
    <col width="11" customWidth="1" style="1" min="31" max="31"/>
  </cols>
  <sheetData>
    <row r="1" ht="18.75" customHeight="1" s="1">
      <c r="A1" s="11" t="inlineStr">
        <is>
          <t>世纪互联南通数据中心B栋FM运维交接班重要事项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</row>
    <row r="2" ht="18.75" customHeight="1" s="1">
      <c r="A2" s="13" t="inlineStr">
        <is>
          <t>班次</t>
        </is>
      </c>
      <c r="B2" s="71" t="n"/>
      <c r="C2" s="72" t="n"/>
      <c r="D2" s="16" t="inlineStr">
        <is>
          <t>夜</t>
        </is>
      </c>
      <c r="E2" s="71" t="n"/>
      <c r="F2" s="71" t="n"/>
      <c r="G2" s="71" t="n"/>
      <c r="H2" s="72" t="n"/>
      <c r="I2" s="17" t="inlineStr">
        <is>
          <t>天气：</t>
        </is>
      </c>
      <c r="J2" s="18" t="n"/>
      <c r="K2" s="19" t="n"/>
      <c r="L2" s="20" t="inlineStr">
        <is>
          <t>暴雨</t>
        </is>
      </c>
      <c r="M2" s="71" t="n"/>
      <c r="N2" s="72" t="n"/>
      <c r="O2" s="21" t="inlineStr">
        <is>
          <t>室外温度（℃）：</t>
        </is>
      </c>
      <c r="P2" s="71" t="n"/>
      <c r="Q2" s="72" t="n"/>
      <c r="R2" s="22" t="inlineStr">
        <is>
          <t>11.12</t>
        </is>
      </c>
      <c r="S2" s="71" t="n"/>
      <c r="T2" s="72" t="n"/>
      <c r="U2" s="21" t="inlineStr">
        <is>
          <t>室外湿度：</t>
        </is>
      </c>
      <c r="V2" s="71" t="n"/>
      <c r="W2" s="72" t="n"/>
      <c r="X2" s="23" t="inlineStr">
        <is>
          <t>97%</t>
        </is>
      </c>
      <c r="Y2" s="21" t="inlineStr">
        <is>
          <t>室外湿球温度（℃）：</t>
        </is>
      </c>
      <c r="Z2" s="71" t="n"/>
      <c r="AA2" s="72" t="n"/>
      <c r="AB2" s="22" t="inlineStr">
        <is>
          <t>11.35</t>
        </is>
      </c>
      <c r="AC2" s="72" t="n"/>
      <c r="AD2" s="24" t="n"/>
      <c r="AE2" s="25" t="n"/>
    </row>
    <row r="3" ht="13.5" customHeight="1" s="1">
      <c r="A3" s="26" t="inlineStr">
        <is>
          <t>一、【本班遗留故障情况】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2" t="n"/>
    </row>
    <row r="4" ht="18.75" customHeight="1" s="1">
      <c r="A4" s="27" t="n"/>
      <c r="B4" s="82" t="inlineStr">
        <is>
          <t>编号</t>
        </is>
      </c>
      <c r="C4" s="82" t="inlineStr">
        <is>
          <t>发生日期</t>
        </is>
      </c>
      <c r="D4" s="72" t="n"/>
      <c r="E4" s="29" t="inlineStr">
        <is>
          <t>楼栋</t>
        </is>
      </c>
      <c r="F4" s="71" t="n"/>
      <c r="G4" s="82" t="inlineStr">
        <is>
          <t>专业</t>
        </is>
      </c>
      <c r="H4" s="72" t="n"/>
      <c r="I4" s="82" t="inlineStr">
        <is>
          <t>故障内容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2" t="n"/>
      <c r="X4" s="82" t="n"/>
      <c r="Y4" s="71" t="n"/>
      <c r="Z4" s="72" t="n"/>
      <c r="AA4" s="82" t="inlineStr">
        <is>
          <t>责任人</t>
        </is>
      </c>
      <c r="AB4" s="82" t="inlineStr">
        <is>
          <t>等级</t>
        </is>
      </c>
      <c r="AC4" s="82" t="inlineStr">
        <is>
          <t>遗留时长</t>
        </is>
      </c>
      <c r="AD4" s="82" t="inlineStr">
        <is>
          <t>备注</t>
        </is>
      </c>
      <c r="AE4" s="72" t="n"/>
    </row>
    <row r="5" ht="18.75" customHeight="1" s="1">
      <c r="A5" s="30" t="n"/>
      <c r="B5" s="82" t="inlineStr">
        <is>
          <t>/</t>
        </is>
      </c>
      <c r="C5" s="31" t="inlineStr">
        <is>
          <t>/</t>
        </is>
      </c>
      <c r="D5" s="72" t="n"/>
      <c r="E5" s="29" t="inlineStr">
        <is>
          <t>B楼</t>
        </is>
      </c>
      <c r="F5" s="71" t="n"/>
      <c r="G5" s="82" t="n"/>
      <c r="H5" s="72" t="n"/>
      <c r="I5" s="27" t="inlineStr">
        <is>
          <t>/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2" t="n"/>
      <c r="X5" s="27" t="inlineStr">
        <is>
          <t>/</t>
        </is>
      </c>
      <c r="Y5" s="71" t="n"/>
      <c r="Z5" s="72" t="n"/>
      <c r="AA5" s="27" t="inlineStr">
        <is>
          <t>/</t>
        </is>
      </c>
      <c r="AC5" s="27" t="inlineStr">
        <is>
          <t>/</t>
        </is>
      </c>
      <c r="AD5" s="27" t="inlineStr">
        <is>
          <t>/</t>
        </is>
      </c>
      <c r="AE5" s="72" t="n"/>
    </row>
    <row r="6" ht="18" customHeight="1" s="1">
      <c r="A6" s="26" t="inlineStr">
        <is>
          <t>二、【交接班组】</t>
        </is>
      </c>
      <c r="B6" s="72" t="n"/>
      <c r="C6" s="29" t="inlineStr">
        <is>
          <t>FM运维值班团队</t>
        </is>
      </c>
      <c r="D6" s="71" t="n"/>
      <c r="E6" s="71" t="n"/>
      <c r="F6" s="71" t="n"/>
      <c r="G6" s="82" t="inlineStr">
        <is>
          <t>A班</t>
        </is>
      </c>
      <c r="H6" s="71" t="n"/>
      <c r="I6" s="72" t="n"/>
      <c r="J6" s="82" t="inlineStr">
        <is>
          <t>交班:</t>
        </is>
      </c>
      <c r="K6" s="71" t="n"/>
      <c r="L6" s="72" t="n"/>
      <c r="M6" s="32" t="inlineStr">
        <is>
          <t>顾晓磊 李松奇</t>
        </is>
      </c>
      <c r="P6" s="82" t="inlineStr">
        <is>
          <t>C班</t>
        </is>
      </c>
      <c r="Q6" s="71" t="n"/>
      <c r="R6" s="72" t="n"/>
      <c r="S6" s="82" t="inlineStr">
        <is>
          <t>接班：</t>
        </is>
      </c>
      <c r="T6" s="72" t="n"/>
      <c r="U6" s="9" t="inlineStr">
        <is>
          <t>韩珂岩 张德海</t>
        </is>
      </c>
      <c r="V6" s="71" t="n"/>
      <c r="W6" s="71" t="n"/>
      <c r="X6" s="72" t="n"/>
      <c r="Z6" s="33" t="n"/>
      <c r="AA6" s="33" t="n"/>
      <c r="AB6" s="33" t="n"/>
      <c r="AC6" s="33" t="n"/>
      <c r="AD6" s="33" t="n"/>
      <c r="AE6" s="34" t="n"/>
    </row>
    <row r="7" ht="18.75" customHeight="1" s="1">
      <c r="A7" s="27" t="n"/>
      <c r="B7" s="27" t="n"/>
      <c r="C7" s="29" t="inlineStr">
        <is>
          <t>晨会到场工程师</t>
        </is>
      </c>
      <c r="D7" s="71" t="n"/>
      <c r="E7" s="71" t="n"/>
      <c r="F7" s="35" t="n"/>
      <c r="G7" s="36" t="inlineStr">
        <is>
          <t>/</t>
        </is>
      </c>
      <c r="H7" s="71" t="n"/>
      <c r="I7" s="71" t="n"/>
      <c r="J7" s="71" t="n"/>
      <c r="K7" s="71" t="n"/>
      <c r="L7" s="71" t="n"/>
      <c r="M7" s="71" t="n"/>
      <c r="N7" s="71" t="n"/>
      <c r="O7" s="72" t="n"/>
      <c r="P7" s="82" t="inlineStr">
        <is>
          <t>应急人员（15min）</t>
        </is>
      </c>
      <c r="Q7" s="71" t="n"/>
      <c r="R7" s="72" t="n"/>
      <c r="S7" s="37" t="inlineStr">
        <is>
          <t>长白岗：杨浩浩</t>
        </is>
      </c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2" t="n"/>
    </row>
    <row r="8" ht="18.75" customHeight="1" s="1">
      <c r="A8" s="38" t="inlineStr">
        <is>
          <t>三、【监控中心当前运营状态】</t>
        </is>
      </c>
      <c r="B8" s="71" t="n"/>
      <c r="C8" s="71" t="n"/>
      <c r="D8" s="71" t="n"/>
      <c r="E8" s="71" t="n"/>
      <c r="F8" s="71" t="n"/>
      <c r="G8" s="82" t="inlineStr">
        <is>
          <t>接班未恢复告警：0</t>
        </is>
      </c>
      <c r="H8" s="71" t="n"/>
      <c r="I8" s="72" t="n"/>
      <c r="J8" s="82" t="inlineStr">
        <is>
          <t>告警总数</t>
        </is>
      </c>
      <c r="K8" s="72" t="n"/>
      <c r="L8" s="36" t="inlineStr">
        <is>
          <t>0</t>
        </is>
      </c>
      <c r="M8" s="82" t="inlineStr">
        <is>
          <t>变化率：</t>
        </is>
      </c>
      <c r="N8" s="72" t="n"/>
      <c r="O8" s="82" t="n">
        <v>0</v>
      </c>
      <c r="P8" s="82" t="inlineStr">
        <is>
          <t>告警原因：</t>
        </is>
      </c>
      <c r="Q8" s="71" t="n"/>
      <c r="R8" s="72" t="n"/>
      <c r="S8" s="39" t="inlineStr">
        <is>
          <t>/</t>
        </is>
      </c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2" t="n"/>
    </row>
    <row r="9" ht="18.75" customHeight="1" s="1">
      <c r="A9" s="40" t="n"/>
      <c r="B9" s="71" t="n"/>
      <c r="C9" s="71" t="n"/>
      <c r="D9" s="71" t="n"/>
      <c r="E9" s="71" t="n"/>
      <c r="F9" s="71" t="n"/>
      <c r="G9" s="82" t="inlineStr">
        <is>
          <t>交班未恢复告警：0</t>
        </is>
      </c>
      <c r="H9" s="71" t="n"/>
      <c r="I9" s="72" t="n"/>
      <c r="J9" s="82" t="inlineStr">
        <is>
          <t>告警总数</t>
        </is>
      </c>
      <c r="K9" s="72" t="n"/>
      <c r="L9" t="inlineStr">
        <is>
          <t>0</t>
        </is>
      </c>
      <c r="M9" s="82" t="inlineStr">
        <is>
          <t>变化率：</t>
        </is>
      </c>
      <c r="N9" s="72" t="n"/>
      <c r="O9" s="41">
        <f>(L8-#REF!)/#REF!*100%</f>
        <v/>
      </c>
      <c r="P9" s="82" t="inlineStr">
        <is>
          <t>告警原因：</t>
        </is>
      </c>
      <c r="Q9" s="71" t="n"/>
      <c r="R9" s="72" t="n"/>
      <c r="S9" s="39" t="inlineStr">
        <is>
          <t>/</t>
        </is>
      </c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2" t="n"/>
    </row>
    <row r="10" ht="17.5" customHeight="1" s="1">
      <c r="A10" s="26" t="inlineStr">
        <is>
          <t>四、【电气】</t>
        </is>
      </c>
      <c r="B10" s="72" t="n"/>
      <c r="C10" s="27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2" t="n"/>
    </row>
    <row r="11" ht="17.5" customHeight="1" s="1">
      <c r="A11" s="82" t="inlineStr">
        <is>
          <t>E楼</t>
        </is>
      </c>
      <c r="B11" s="92" t="n"/>
      <c r="C11" s="29" t="inlineStr">
        <is>
          <t>线路名称</t>
        </is>
      </c>
      <c r="D11" s="71" t="n"/>
      <c r="E11" s="71" t="n"/>
      <c r="F11" s="71" t="n"/>
      <c r="G11" s="82" t="inlineStr">
        <is>
          <t>8小时平均功率</t>
        </is>
      </c>
      <c r="H11" s="71" t="n"/>
      <c r="I11" s="72" t="n"/>
      <c r="J11" s="82" t="inlineStr">
        <is>
          <t>平均负载率</t>
        </is>
      </c>
      <c r="K11" s="71" t="n"/>
      <c r="L11" s="72" t="n"/>
      <c r="M11" s="82" t="inlineStr">
        <is>
          <t>变化率</t>
        </is>
      </c>
      <c r="N11" s="72" t="n"/>
      <c r="O11" s="27" t="n"/>
      <c r="P11" s="27" t="n"/>
      <c r="Q11" s="71" t="n"/>
      <c r="R11" s="71" t="n"/>
      <c r="S11" s="71" t="n"/>
      <c r="T11" s="72" t="n"/>
      <c r="U11" s="82" t="inlineStr">
        <is>
          <t>A区油罐</t>
        </is>
      </c>
      <c r="V11" s="71" t="n"/>
      <c r="W11" s="72" t="n"/>
      <c r="X11" s="82" t="inlineStr">
        <is>
          <t>B区油罐</t>
        </is>
      </c>
      <c r="Y11" s="72" t="n"/>
      <c r="Z11" s="43" t="n"/>
      <c r="AA11" s="44" t="n"/>
      <c r="AB11" s="44" t="n"/>
      <c r="AC11" s="44" t="n"/>
      <c r="AD11" s="44" t="n"/>
      <c r="AE11" s="45" t="n"/>
    </row>
    <row r="12" ht="15" customHeight="1" s="1">
      <c r="A12" s="46" t="n"/>
      <c r="B12" s="47" t="n"/>
      <c r="C12" s="48" t="inlineStr">
        <is>
          <t>10kVⅠ 段</t>
        </is>
      </c>
      <c r="D12" s="71" t="n"/>
      <c r="E12" s="71" t="n"/>
      <c r="F12" s="72" t="n"/>
      <c r="G12" s="154" t="inlineStr">
        <is>
          <t>2678.69</t>
        </is>
      </c>
      <c r="H12" s="50" t="n"/>
      <c r="I12" s="48" t="inlineStr">
        <is>
          <t>KW</t>
        </is>
      </c>
      <c r="J12" s="51" t="n"/>
      <c r="K12" s="71" t="n"/>
      <c r="L12" s="72" t="n"/>
      <c r="M12" s="52" t="n">
        <v>0</v>
      </c>
      <c r="N12" s="72" t="n"/>
      <c r="O12" s="53" t="n"/>
      <c r="P12" s="82" t="inlineStr">
        <is>
          <t>室外柴发储油罐</t>
        </is>
      </c>
      <c r="Q12" s="91" t="n"/>
      <c r="R12" s="92" t="n"/>
      <c r="S12" s="55" t="inlineStr">
        <is>
          <t>交班油量（L）</t>
        </is>
      </c>
      <c r="T12" s="92" t="n"/>
      <c r="U12" s="82" t="inlineStr">
        <is>
          <t>133142.86</t>
        </is>
      </c>
      <c r="V12" s="71" t="n"/>
      <c r="W12" s="72" t="n"/>
      <c r="X12" s="82" t="inlineStr">
        <is>
          <t>126154.76</t>
        </is>
      </c>
      <c r="Y12" s="72" t="n"/>
      <c r="Z12" s="56" t="n"/>
      <c r="AA12" s="57" t="n"/>
      <c r="AB12" s="57" t="n"/>
      <c r="AC12" s="57" t="n"/>
      <c r="AD12" s="57" t="n"/>
      <c r="AE12" s="58" t="n"/>
    </row>
    <row r="13" ht="15" customHeight="1" s="1">
      <c r="A13" s="46" t="n"/>
      <c r="B13" s="47" t="n"/>
      <c r="C13" s="48" t="inlineStr">
        <is>
          <t>10kVⅡ 段</t>
        </is>
      </c>
      <c r="D13" s="71" t="n"/>
      <c r="E13" s="71" t="n"/>
      <c r="F13" s="72" t="n"/>
      <c r="G13" s="155" t="inlineStr">
        <is>
          <t>2620.87</t>
        </is>
      </c>
      <c r="H13" s="60" t="n"/>
      <c r="I13" s="48" t="inlineStr">
        <is>
          <t>KW</t>
        </is>
      </c>
      <c r="J13" s="51" t="n"/>
      <c r="K13" s="71" t="n"/>
      <c r="L13" s="72" t="n"/>
      <c r="M13" s="52" t="n">
        <v>0</v>
      </c>
      <c r="N13" s="72" t="n"/>
      <c r="O13" s="53" t="n"/>
      <c r="P13" s="46" t="n"/>
      <c r="R13" s="47" t="n"/>
      <c r="S13" s="61" t="inlineStr">
        <is>
          <t>本班油量（L）</t>
        </is>
      </c>
      <c r="T13" s="47" t="n"/>
      <c r="U13" s="82" t="inlineStr">
        <is>
          <t>133142.86</t>
        </is>
      </c>
      <c r="V13" s="71" t="n"/>
      <c r="W13" s="72" t="n"/>
      <c r="X13" s="82" t="inlineStr">
        <is>
          <t>126154.76</t>
        </is>
      </c>
      <c r="Y13" s="72" t="n"/>
      <c r="Z13" s="56" t="n"/>
      <c r="AA13" s="57" t="n"/>
      <c r="AB13" s="57" t="n"/>
      <c r="AC13" s="57" t="n"/>
      <c r="AD13" s="62" t="n"/>
      <c r="AE13" s="58" t="n"/>
    </row>
    <row r="14" ht="15" customHeight="1" s="1">
      <c r="A14" s="46" t="n"/>
      <c r="B14" s="47" t="n"/>
      <c r="C14" s="48" t="inlineStr">
        <is>
          <t>10kVⅢ 段</t>
        </is>
      </c>
      <c r="D14" s="71" t="n"/>
      <c r="E14" s="71" t="n"/>
      <c r="F14" s="72" t="n"/>
      <c r="G14" s="154" t="inlineStr">
        <is>
          <t>2624.22</t>
        </is>
      </c>
      <c r="H14" s="50" t="n"/>
      <c r="I14" s="48" t="inlineStr">
        <is>
          <t>KW</t>
        </is>
      </c>
      <c r="J14" s="51" t="n"/>
      <c r="K14" s="71" t="n"/>
      <c r="L14" s="72" t="n"/>
      <c r="M14" s="52" t="n">
        <v>0.00126984126984123</v>
      </c>
      <c r="N14" s="72" t="n"/>
      <c r="O14" s="53" t="n"/>
      <c r="P14" s="93" t="n"/>
      <c r="Q14" s="94" t="n"/>
      <c r="R14" s="95" t="n"/>
      <c r="S14" s="65" t="inlineStr">
        <is>
          <t>变化率：</t>
        </is>
      </c>
      <c r="T14" s="95" t="n"/>
      <c r="U14" s="82" t="n"/>
      <c r="V14" s="71" t="n"/>
      <c r="W14" s="72" t="n"/>
      <c r="X14" s="82" t="n"/>
      <c r="Y14" s="72" t="n"/>
      <c r="Z14" s="56" t="n"/>
      <c r="AA14" s="57" t="n"/>
      <c r="AB14" s="57" t="n"/>
      <c r="AC14" s="57" t="n"/>
      <c r="AD14" s="57" t="n"/>
      <c r="AE14" s="58" t="n"/>
    </row>
    <row r="15" ht="15" customHeight="1" s="1">
      <c r="A15" s="46" t="n"/>
      <c r="B15" s="47" t="n"/>
      <c r="C15" s="48" t="inlineStr">
        <is>
          <t>10kVⅣ 段</t>
        </is>
      </c>
      <c r="D15" s="71" t="n"/>
      <c r="E15" s="71" t="n"/>
      <c r="F15" s="72" t="n"/>
      <c r="G15" s="156" t="inlineStr">
        <is>
          <t>2912.82</t>
        </is>
      </c>
      <c r="H15" s="67" t="n"/>
      <c r="I15" s="48" t="inlineStr">
        <is>
          <t>KW</t>
        </is>
      </c>
      <c r="J15" s="51" t="n"/>
      <c r="K15" s="71" t="n"/>
      <c r="L15" s="72" t="n"/>
      <c r="M15" s="52" t="n">
        <v>0</v>
      </c>
      <c r="N15" s="72" t="n"/>
      <c r="O15" s="30" t="n"/>
      <c r="P15" s="82" t="inlineStr">
        <is>
          <t>供油可用时长（H）</t>
        </is>
      </c>
      <c r="Q15" s="71" t="n"/>
      <c r="R15" s="72" t="n"/>
      <c r="S15" s="37" t="inlineStr">
        <is>
          <t>B楼</t>
        </is>
      </c>
      <c r="T15" s="72" t="n"/>
      <c r="U15" s="157" t="inlineStr">
        <is>
          <t>12.98</t>
        </is>
      </c>
      <c r="V15" s="71" t="n"/>
      <c r="W15" s="71" t="n"/>
      <c r="X15" s="71" t="n"/>
      <c r="Y15" s="72" t="n"/>
      <c r="Z15" s="56" t="n"/>
      <c r="AA15" s="57" t="n"/>
      <c r="AB15" s="57" t="n"/>
      <c r="AC15" s="57" t="n"/>
      <c r="AD15" s="57" t="n"/>
      <c r="AE15" s="58" t="n"/>
    </row>
    <row r="16" ht="17.4" customHeight="1" s="1">
      <c r="A16" s="46" t="n"/>
      <c r="B16" s="47" t="n"/>
      <c r="C16" s="48" t="inlineStr">
        <is>
          <t>变压器负载率（MAX）</t>
        </is>
      </c>
      <c r="D16" s="71" t="n"/>
      <c r="E16" s="71" t="n"/>
      <c r="F16" s="72" t="n"/>
      <c r="G16" s="48" t="inlineStr">
        <is>
          <t>B楼</t>
        </is>
      </c>
      <c r="H16" s="70" t="inlineStr">
        <is>
          <t>B-218-TR-201</t>
        </is>
      </c>
      <c r="I16" s="71" t="n"/>
      <c r="J16" s="71" t="n"/>
      <c r="K16" s="72" t="n"/>
      <c r="L16" s="70" t="inlineStr">
        <is>
          <t>40.24%</t>
        </is>
      </c>
      <c r="M16" s="71" t="n"/>
      <c r="N16" s="72" t="n"/>
      <c r="O16" s="27" t="n"/>
      <c r="P16" s="82" t="inlineStr">
        <is>
          <t>燃油当前总储量（T）</t>
        </is>
      </c>
      <c r="Q16" s="71" t="n"/>
      <c r="R16" s="72" t="n"/>
      <c r="S16" s="37" t="inlineStr">
        <is>
          <t>B楼</t>
        </is>
      </c>
      <c r="T16" s="72" t="n"/>
      <c r="U16" s="157" t="inlineStr">
        <is>
          <t>30.86</t>
        </is>
      </c>
      <c r="V16" s="71" t="n"/>
      <c r="W16" s="71" t="n"/>
      <c r="X16" s="71" t="n"/>
      <c r="Y16" s="72" t="n"/>
      <c r="Z16" s="56" t="n"/>
      <c r="AA16" s="57" t="n"/>
      <c r="AB16" s="57" t="n"/>
      <c r="AC16" s="57" t="n"/>
      <c r="AD16" s="57" t="n"/>
      <c r="AE16" s="58" t="n"/>
    </row>
    <row r="17" ht="17.4" customHeight="1" s="1">
      <c r="A17" s="46" t="n"/>
      <c r="B17" s="47" t="n"/>
      <c r="C17" s="48" t="inlineStr">
        <is>
          <t>HVDC负载率（MAX）</t>
        </is>
      </c>
      <c r="D17" s="71" t="n"/>
      <c r="E17" s="71" t="n"/>
      <c r="F17" s="72" t="n"/>
      <c r="G17" s="48" t="inlineStr">
        <is>
          <t>B楼</t>
        </is>
      </c>
      <c r="H17" s="70" t="inlineStr">
        <is>
          <t>B-245-HVDC-242</t>
        </is>
      </c>
      <c r="I17" s="71" t="n"/>
      <c r="J17" s="71" t="n"/>
      <c r="K17" s="72" t="n"/>
      <c r="L17" s="70" t="inlineStr">
        <is>
          <t>33.27%</t>
        </is>
      </c>
      <c r="M17" s="71" t="n"/>
      <c r="N17" s="72" t="n"/>
      <c r="O17" s="27" t="n"/>
      <c r="P17" s="82" t="inlineStr">
        <is>
          <t>柴发带载百分比（max）</t>
        </is>
      </c>
      <c r="Q17" s="71" t="n"/>
      <c r="R17" s="72" t="n"/>
      <c r="S17" s="37" t="inlineStr">
        <is>
          <t>B楼</t>
        </is>
      </c>
      <c r="T17" s="72" t="n"/>
      <c r="U17" s="41" t="n"/>
      <c r="V17" s="71" t="n"/>
      <c r="W17" s="71" t="n"/>
      <c r="X17" s="71" t="n"/>
      <c r="Y17" s="72" t="n"/>
      <c r="Z17" s="56" t="n"/>
      <c r="AA17" s="57" t="n"/>
      <c r="AB17" s="57" t="n"/>
      <c r="AC17" s="57" t="n"/>
      <c r="AD17" s="57" t="n"/>
      <c r="AE17" s="58" t="n"/>
    </row>
    <row r="18" ht="17.4" customHeight="1" s="1">
      <c r="A18" s="93" t="n"/>
      <c r="B18" s="95" t="n"/>
      <c r="C18" s="48" t="inlineStr">
        <is>
          <t>UPS负载率（MAX）</t>
        </is>
      </c>
      <c r="D18" s="71" t="n"/>
      <c r="E18" s="71" t="n"/>
      <c r="F18" s="72" t="n"/>
      <c r="G18" s="48" t="inlineStr">
        <is>
          <t>B楼</t>
        </is>
      </c>
      <c r="H18" s="70" t="inlineStr">
        <is>
          <t>B-245-UPS-101</t>
        </is>
      </c>
      <c r="I18" s="71" t="n"/>
      <c r="J18" s="71" t="n"/>
      <c r="K18" s="72" t="n"/>
      <c r="L18" s="70" t="inlineStr">
        <is>
          <t>12.37%</t>
        </is>
      </c>
      <c r="M18" s="71" t="n"/>
      <c r="N18" s="72" t="n"/>
      <c r="O18" s="27" t="n"/>
      <c r="P18" s="82" t="inlineStr">
        <is>
          <t>柴发自动状态（台）</t>
        </is>
      </c>
      <c r="Q18" s="71" t="n"/>
      <c r="R18" s="72" t="n"/>
      <c r="S18" s="37" t="inlineStr">
        <is>
          <t>B楼</t>
        </is>
      </c>
      <c r="T18" s="72" t="n"/>
      <c r="U18" s="82" t="inlineStr">
        <is>
          <t>自动</t>
        </is>
      </c>
      <c r="V18" s="82" t="n"/>
      <c r="W18" s="72" t="n"/>
      <c r="X18" s="82" t="inlineStr">
        <is>
          <t>手动</t>
        </is>
      </c>
      <c r="Y18" s="82" t="n">
        <v>0</v>
      </c>
      <c r="Z18" s="73" t="n"/>
      <c r="AA18" s="74" t="n"/>
      <c r="AB18" s="74" t="n"/>
      <c r="AC18" s="74" t="n"/>
      <c r="AD18" s="74" t="n"/>
      <c r="AE18" s="75" t="n"/>
    </row>
    <row r="19" ht="17.5" customHeight="1" s="1">
      <c r="A19" s="26" t="inlineStr">
        <is>
          <t>五、【暖通】</t>
        </is>
      </c>
      <c r="B19" s="72" t="n"/>
      <c r="C19" s="27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2" t="n"/>
    </row>
    <row r="20" ht="30" customHeight="1" s="1">
      <c r="A20" s="82" t="inlineStr">
        <is>
          <t>B楼</t>
        </is>
      </c>
      <c r="B20" s="92" t="n"/>
      <c r="C20" s="76" t="inlineStr">
        <is>
          <t>制冷单元系统</t>
        </is>
      </c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2" t="n"/>
      <c r="AB20" s="77" t="n"/>
      <c r="AC20" s="78" t="n"/>
      <c r="AD20" s="78" t="n"/>
      <c r="AE20" s="79" t="n"/>
    </row>
    <row r="21" ht="30" customHeight="1" s="1">
      <c r="A21" s="46" t="n"/>
      <c r="B21" s="47" t="n"/>
      <c r="C21" s="40" t="inlineStr">
        <is>
          <t>西区</t>
        </is>
      </c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27" t="inlineStr">
        <is>
          <t>/</t>
        </is>
      </c>
      <c r="P21" s="79" t="inlineStr">
        <is>
          <t>东区</t>
        </is>
      </c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2" t="n"/>
      <c r="AB21" s="77" t="n"/>
      <c r="AC21" s="78" t="n"/>
      <c r="AD21" s="78" t="n"/>
      <c r="AE21" s="79" t="n"/>
    </row>
    <row r="22" ht="60" customHeight="1" s="1">
      <c r="A22" s="46" t="n"/>
      <c r="B22" s="47" t="n"/>
      <c r="C22" s="80" t="inlineStr">
        <is>
          <t>制冷量（KW）</t>
        </is>
      </c>
      <c r="D22" s="70" t="inlineStr">
        <is>
          <t>4724.39</t>
        </is>
      </c>
      <c r="E22" s="72" t="n"/>
      <c r="F22" s="80" t="inlineStr">
        <is>
          <t>一次流量（m³/h）</t>
        </is>
      </c>
      <c r="G22" s="70" t="inlineStr">
        <is>
          <t>630.76</t>
        </is>
      </c>
      <c r="H22" s="72" t="n"/>
      <c r="I22" s="80" t="inlineStr">
        <is>
          <t>二次流量（m³/h）</t>
        </is>
      </c>
      <c r="J22" s="70" t="inlineStr">
        <is>
          <t>484.48</t>
        </is>
      </c>
      <c r="K22" s="72" t="n"/>
      <c r="L22" s="80" t="inlineStr">
        <is>
          <t>蓄冷流量（m³/h）</t>
        </is>
      </c>
      <c r="M22" s="70" t="inlineStr">
        <is>
          <t>142.48</t>
        </is>
      </c>
      <c r="N22" s="72" t="n"/>
      <c r="O22" s="53" t="n"/>
      <c r="P22" s="80" t="inlineStr">
        <is>
          <t>制冷量（KW）</t>
        </is>
      </c>
      <c r="Q22" s="70" t="inlineStr">
        <is>
          <t>3295.27</t>
        </is>
      </c>
      <c r="R22" s="72" t="n"/>
      <c r="S22" s="80" t="inlineStr">
        <is>
          <t>一次流量（m³/h）</t>
        </is>
      </c>
      <c r="T22" s="70" t="inlineStr">
        <is>
          <t>627.67</t>
        </is>
      </c>
      <c r="U22" s="72" t="n"/>
      <c r="V22" s="80" t="inlineStr">
        <is>
          <t>二次流量（m³/h）</t>
        </is>
      </c>
      <c r="W22" s="70" t="inlineStr">
        <is>
          <t>594.28</t>
        </is>
      </c>
      <c r="X22" s="72" t="n"/>
      <c r="Y22" s="80" t="inlineStr">
        <is>
          <t>蓄冷流量（m³/h）</t>
        </is>
      </c>
      <c r="Z22" s="70" t="inlineStr">
        <is>
          <t>26.23</t>
        </is>
      </c>
      <c r="AA22" s="72" t="n"/>
      <c r="AB22" s="81" t="inlineStr">
        <is>
          <t>蓄冷罐可用时长(分钟）</t>
        </is>
      </c>
      <c r="AC22" s="82" t="inlineStr">
        <is>
          <t>西区：</t>
        </is>
      </c>
      <c r="AD22" s="88" t="inlineStr">
        <is>
          <t>52</t>
        </is>
      </c>
      <c r="AE22" s="72" t="n"/>
    </row>
    <row r="23" ht="25.05" customHeight="1" s="1">
      <c r="A23" s="46" t="n"/>
      <c r="B23" s="47" t="n"/>
      <c r="C23" s="48" t="inlineStr">
        <is>
          <t>机组编号</t>
        </is>
      </c>
      <c r="D23" s="84" t="inlineStr">
        <is>
          <t>2号制冷单元→预冷</t>
        </is>
      </c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2" t="n"/>
      <c r="O23" s="53" t="n"/>
      <c r="P23" s="48" t="inlineStr">
        <is>
          <t>机组编号</t>
        </is>
      </c>
      <c r="Q23" s="84" t="inlineStr">
        <is>
          <t>5号制冷单元→预冷</t>
        </is>
      </c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2" t="n"/>
      <c r="AB23" s="47" t="n"/>
      <c r="AC23" s="82" t="inlineStr">
        <is>
          <t>东区：</t>
        </is>
      </c>
      <c r="AD23" s="88" t="inlineStr">
        <is>
          <t>42</t>
        </is>
      </c>
      <c r="AE23" s="72" t="n"/>
    </row>
    <row r="24" ht="25.05" customHeight="1" s="1">
      <c r="A24" s="46" t="n"/>
      <c r="B24" s="47" t="n"/>
      <c r="C24" s="48" t="inlineStr">
        <is>
          <t>设备</t>
        </is>
      </c>
      <c r="D24" s="48" t="inlineStr">
        <is>
          <t>冷机</t>
        </is>
      </c>
      <c r="E24" s="48" t="inlineStr">
        <is>
          <t>冷塔</t>
        </is>
      </c>
      <c r="F24" s="71" t="n"/>
      <c r="G24" s="72" t="n"/>
      <c r="H24" s="48" t="inlineStr">
        <is>
          <t>冷却泵</t>
        </is>
      </c>
      <c r="I24" s="72" t="n"/>
      <c r="J24" s="48" t="inlineStr">
        <is>
          <t>一次泵</t>
        </is>
      </c>
      <c r="K24" s="48" t="inlineStr">
        <is>
          <t>板换</t>
        </is>
      </c>
      <c r="L24" s="71" t="n"/>
      <c r="M24" s="71" t="n"/>
      <c r="N24" s="72" t="n"/>
      <c r="O24" s="53" t="n"/>
      <c r="P24" s="48" t="inlineStr">
        <is>
          <t>设备</t>
        </is>
      </c>
      <c r="Q24" s="48" t="inlineStr">
        <is>
          <t>冷机</t>
        </is>
      </c>
      <c r="R24" s="48" t="inlineStr">
        <is>
          <t>冷塔</t>
        </is>
      </c>
      <c r="S24" s="71" t="n"/>
      <c r="T24" s="72" t="n"/>
      <c r="U24" s="48" t="inlineStr">
        <is>
          <t>冷却泵</t>
        </is>
      </c>
      <c r="V24" s="72" t="n"/>
      <c r="W24" s="48" t="inlineStr">
        <is>
          <t>一次泵</t>
        </is>
      </c>
      <c r="X24" s="48" t="inlineStr">
        <is>
          <t>板换</t>
        </is>
      </c>
      <c r="Y24" s="71" t="n"/>
      <c r="Z24" s="71" t="n"/>
      <c r="AA24" s="72" t="n"/>
      <c r="AB24" s="85" t="inlineStr">
        <is>
          <t>补水可用时间（H）</t>
        </is>
      </c>
      <c r="AC24" s="86" t="inlineStr">
        <is>
          <t>53.94</t>
        </is>
      </c>
      <c r="AD24" s="71" t="n"/>
      <c r="AE24" s="72" t="n"/>
    </row>
    <row r="25" ht="48" customHeight="1" s="1">
      <c r="A25" s="46" t="n"/>
      <c r="B25" s="47" t="n"/>
      <c r="C25" s="87" t="inlineStr">
        <is>
          <t>运行负荷</t>
        </is>
      </c>
      <c r="D25" s="88" t="inlineStr">
        <is>
          <t>36.3</t>
        </is>
      </c>
      <c r="E25" s="70" t="inlineStr">
        <is>
          <t>自动</t>
        </is>
      </c>
      <c r="F25" s="71" t="n"/>
      <c r="G25" s="72" t="n"/>
      <c r="H25" s="70" t="inlineStr">
        <is>
          <t>自动</t>
        </is>
      </c>
      <c r="I25" s="72" t="n"/>
      <c r="J25" s="70" t="inlineStr">
        <is>
          <t>自动</t>
        </is>
      </c>
      <c r="K25" s="80" t="inlineStr">
        <is>
          <t>冷却进水温度(℃)</t>
        </is>
      </c>
      <c r="L25" s="84" t="inlineStr">
        <is>
          <t>19.54</t>
        </is>
      </c>
      <c r="M25" s="80" t="inlineStr">
        <is>
          <t>冷却进水压力（Mpa）</t>
        </is>
      </c>
      <c r="N25" s="84" t="inlineStr">
        <is>
          <t>3.73</t>
        </is>
      </c>
      <c r="O25" s="53" t="n"/>
      <c r="P25" s="87" t="inlineStr">
        <is>
          <t>运行负荷</t>
        </is>
      </c>
      <c r="Q25" s="88" t="inlineStr">
        <is>
          <t>36.1</t>
        </is>
      </c>
      <c r="R25" s="70" t="inlineStr">
        <is>
          <t>自动</t>
        </is>
      </c>
      <c r="S25" s="71" t="n"/>
      <c r="T25" s="72" t="n"/>
      <c r="U25" s="70" t="inlineStr">
        <is>
          <t>自动</t>
        </is>
      </c>
      <c r="V25" s="72" t="n"/>
      <c r="W25" s="70" t="inlineStr">
        <is>
          <t>自动</t>
        </is>
      </c>
      <c r="X25" s="80" t="inlineStr">
        <is>
          <t>冷却进水温度(℃)</t>
        </is>
      </c>
      <c r="Y25" s="84" t="inlineStr">
        <is>
          <t>19.87</t>
        </is>
      </c>
      <c r="Z25" s="80" t="inlineStr">
        <is>
          <t>冷却进水压力（Mpa）</t>
        </is>
      </c>
      <c r="AA25" s="84" t="inlineStr">
        <is>
          <t>3.71</t>
        </is>
      </c>
      <c r="AB25" s="85" t="inlineStr">
        <is>
          <t>本月总用水量m3</t>
        </is>
      </c>
      <c r="AC25" s="88" t="inlineStr">
        <is>
          <t>8224.6</t>
        </is>
      </c>
      <c r="AD25" s="71" t="n"/>
      <c r="AE25" s="72" t="n"/>
    </row>
    <row r="26" ht="24" customHeight="1" s="1">
      <c r="A26" s="46" t="n"/>
      <c r="B26" s="47" t="n"/>
      <c r="C26" s="80" t="inlineStr">
        <is>
          <t>冷冻水供水温度
(℃)</t>
        </is>
      </c>
      <c r="D26" s="84" t="inlineStr">
        <is>
          <t>15.6</t>
        </is>
      </c>
      <c r="E26" s="48" t="inlineStr">
        <is>
          <t>频率(HZ)</t>
        </is>
      </c>
      <c r="F26" s="70" t="inlineStr">
        <is>
          <t>1#</t>
        </is>
      </c>
      <c r="G26" s="70" t="inlineStr">
        <is>
          <t>2#</t>
        </is>
      </c>
      <c r="H26" s="48" t="inlineStr">
        <is>
          <t>频率(HZ)</t>
        </is>
      </c>
      <c r="I26" s="70" t="inlineStr">
        <is>
          <t>29.71</t>
        </is>
      </c>
      <c r="J26" s="70" t="inlineStr">
        <is>
          <t>24.7</t>
        </is>
      </c>
      <c r="K26" s="80" t="inlineStr">
        <is>
          <t>冷却出水温度(℃)</t>
        </is>
      </c>
      <c r="L26" s="70" t="inlineStr">
        <is>
          <t>21.84</t>
        </is>
      </c>
      <c r="M26" s="80" t="inlineStr">
        <is>
          <t>冷却出水压力（Mpa）</t>
        </is>
      </c>
      <c r="N26" s="158" t="n"/>
      <c r="O26" s="53" t="n"/>
      <c r="P26" s="80" t="inlineStr">
        <is>
          <t>冷冻水供水温度
(℃)</t>
        </is>
      </c>
      <c r="Q26" s="84" t="inlineStr">
        <is>
          <t>16.2</t>
        </is>
      </c>
      <c r="R26" s="48" t="inlineStr">
        <is>
          <t>频率(HZ)</t>
        </is>
      </c>
      <c r="S26" s="70" t="inlineStr">
        <is>
          <t>1#</t>
        </is>
      </c>
      <c r="T26" s="70" t="inlineStr">
        <is>
          <t>2#</t>
        </is>
      </c>
      <c r="U26" s="48" t="inlineStr">
        <is>
          <t>频率(HZ)</t>
        </is>
      </c>
      <c r="V26" s="70" t="inlineStr">
        <is>
          <t>30.69</t>
        </is>
      </c>
      <c r="W26" s="70" t="inlineStr">
        <is>
          <t>25.5</t>
        </is>
      </c>
      <c r="X26" s="80" t="inlineStr">
        <is>
          <t>冷却出水温度(℃)</t>
        </is>
      </c>
      <c r="Y26" s="159" t="inlineStr">
        <is>
          <t>22.43</t>
        </is>
      </c>
      <c r="Z26" s="80" t="inlineStr">
        <is>
          <t>冷却出水压力（Mpa）</t>
        </is>
      </c>
      <c r="AA26" s="158" t="n"/>
      <c r="AB26" s="85" t="inlineStr">
        <is>
          <t>补水罐液位
西m</t>
        </is>
      </c>
      <c r="AC26" s="88" t="inlineStr">
        <is>
          <t>1.94</t>
        </is>
      </c>
      <c r="AD26" s="91" t="n"/>
      <c r="AE26" s="92" t="n"/>
    </row>
    <row r="27" ht="24" customHeight="1" s="1">
      <c r="A27" s="46" t="n"/>
      <c r="B27" s="47" t="n"/>
      <c r="C27" s="30" t="n"/>
      <c r="D27" s="30" t="n"/>
      <c r="E27" s="30" t="n"/>
      <c r="F27" s="70" t="n"/>
      <c r="G27" s="159" t="inlineStr">
        <is>
          <t>25.28</t>
        </is>
      </c>
      <c r="H27" s="30" t="n"/>
      <c r="I27" s="30" t="n"/>
      <c r="J27" s="30" t="n"/>
      <c r="K27" s="30" t="n"/>
      <c r="L27" s="30" t="n"/>
      <c r="M27" s="30" t="n"/>
      <c r="N27" s="30" t="n"/>
      <c r="O27" s="53" t="n"/>
      <c r="P27" s="30" t="n"/>
      <c r="Q27" s="30" t="n"/>
      <c r="R27" s="30" t="n"/>
      <c r="S27" s="70" t="n"/>
      <c r="T27" s="70" t="n"/>
      <c r="U27" s="30" t="n"/>
      <c r="V27" s="30" t="n"/>
      <c r="W27" s="30" t="n"/>
      <c r="X27" s="30" t="n"/>
      <c r="Y27" s="30" t="n"/>
      <c r="Z27" s="30" t="n"/>
      <c r="AA27" s="30" t="n"/>
      <c r="AB27" s="95" t="n"/>
      <c r="AC27" s="93" t="n"/>
      <c r="AD27" s="94" t="n"/>
      <c r="AE27" s="95" t="n"/>
    </row>
    <row r="28" ht="42" customHeight="1" s="1">
      <c r="A28" s="46" t="n"/>
      <c r="B28" s="47" t="n"/>
      <c r="C28" s="80" t="inlineStr">
        <is>
          <t>冷却水进水温度
(℃)</t>
        </is>
      </c>
      <c r="D28" s="88" t="inlineStr">
        <is>
          <t>21.4</t>
        </is>
      </c>
      <c r="E28" s="80" t="inlineStr">
        <is>
          <t>冷塔温度
设定值</t>
        </is>
      </c>
      <c r="F28" s="70" t="n"/>
      <c r="G28" s="72" t="n"/>
      <c r="H28" s="80" t="inlineStr">
        <is>
          <t>进水压力(Mpa)</t>
        </is>
      </c>
      <c r="I28" s="160" t="n"/>
      <c r="J28" s="160" t="n"/>
      <c r="K28" s="80" t="inlineStr">
        <is>
          <t>冷冻进水温度(℃)</t>
        </is>
      </c>
      <c r="L28" s="84" t="inlineStr">
        <is>
          <t>22.78</t>
        </is>
      </c>
      <c r="M28" s="80" t="inlineStr">
        <is>
          <t>冷却进出水压差（Mpa）</t>
        </is>
      </c>
      <c r="N28" s="84">
        <f>N25-N26</f>
        <v/>
      </c>
      <c r="O28" s="53" t="n"/>
      <c r="P28" s="80" t="inlineStr">
        <is>
          <t>冷却水进水温度
(℃)</t>
        </is>
      </c>
      <c r="Q28" s="88" t="inlineStr">
        <is>
          <t>22.4</t>
        </is>
      </c>
      <c r="R28" s="80" t="inlineStr">
        <is>
          <t>冷塔温度
设定值</t>
        </is>
      </c>
      <c r="S28" s="70" t="n"/>
      <c r="T28" s="72" t="n"/>
      <c r="U28" s="80" t="inlineStr">
        <is>
          <t>进水压力(Mpa)</t>
        </is>
      </c>
      <c r="V28" s="160" t="n"/>
      <c r="W28" s="70" t="n"/>
      <c r="X28" s="80" t="inlineStr">
        <is>
          <t>冷冻进水温度(℃)</t>
        </is>
      </c>
      <c r="Y28" s="97" t="inlineStr">
        <is>
          <t>23.1</t>
        </is>
      </c>
      <c r="Z28" s="80" t="inlineStr">
        <is>
          <t>冷却进出水压差（Mpa）</t>
        </is>
      </c>
      <c r="AA28" s="84">
        <f>AA25-AA26</f>
        <v/>
      </c>
      <c r="AB28" s="85" t="inlineStr">
        <is>
          <t>补水罐液位
东m</t>
        </is>
      </c>
      <c r="AC28" s="88" t="inlineStr">
        <is>
          <t>2.0</t>
        </is>
      </c>
      <c r="AD28" s="71" t="n"/>
      <c r="AE28" s="72" t="n"/>
    </row>
    <row r="29" ht="42" customHeight="1" s="1">
      <c r="A29" s="46" t="n"/>
      <c r="B29" s="47" t="n"/>
      <c r="C29" s="80" t="inlineStr">
        <is>
          <t>冷凝压力
(Kpa)</t>
        </is>
      </c>
      <c r="D29" s="88" t="inlineStr">
        <is>
          <t>588.1</t>
        </is>
      </c>
      <c r="E29" s="80" t="inlineStr">
        <is>
          <t>进水温度(℃)</t>
        </is>
      </c>
      <c r="F29" s="159" t="inlineStr">
        <is>
          <t>25.3</t>
        </is>
      </c>
      <c r="G29" s="72" t="n"/>
      <c r="H29" s="80" t="inlineStr">
        <is>
          <t>出水压力(Mpa)</t>
        </is>
      </c>
      <c r="I29" s="70" t="n"/>
      <c r="J29" s="70" t="inlineStr">
        <is>
          <t>3.73</t>
        </is>
      </c>
      <c r="K29" s="80" t="inlineStr">
        <is>
          <t>冷冻出水温度(℃)</t>
        </is>
      </c>
      <c r="L29" s="84" t="inlineStr">
        <is>
          <t>20.07</t>
        </is>
      </c>
      <c r="M29" s="80" t="inlineStr">
        <is>
          <t>冷冻进水压力（Mpa）</t>
        </is>
      </c>
      <c r="N29" s="84" t="inlineStr">
        <is>
          <t>2.76</t>
        </is>
      </c>
      <c r="O29" s="53" t="n"/>
      <c r="P29" s="80" t="inlineStr">
        <is>
          <t>冷凝压力
(Kpa)</t>
        </is>
      </c>
      <c r="Q29" s="88" t="inlineStr">
        <is>
          <t>604.1</t>
        </is>
      </c>
      <c r="R29" s="80" t="inlineStr">
        <is>
          <t>进水温度(℃)</t>
        </is>
      </c>
      <c r="S29" s="159" t="inlineStr">
        <is>
          <t>26.29</t>
        </is>
      </c>
      <c r="T29" s="72" t="n"/>
      <c r="U29" s="80" t="inlineStr">
        <is>
          <t>出水压力(Mpa)</t>
        </is>
      </c>
      <c r="V29" s="70" t="n"/>
      <c r="W29" s="70" t="inlineStr">
        <is>
          <t>3.71</t>
        </is>
      </c>
      <c r="X29" s="80" t="inlineStr">
        <is>
          <t>冷冻出水温度(℃)</t>
        </is>
      </c>
      <c r="Y29" s="84" t="inlineStr">
        <is>
          <t>20.92</t>
        </is>
      </c>
      <c r="Z29" s="80" t="inlineStr">
        <is>
          <t>冷冻进水压力（Mpa）</t>
        </is>
      </c>
      <c r="AA29" s="84" t="inlineStr">
        <is>
          <t>2.71</t>
        </is>
      </c>
      <c r="AB29" s="85" t="inlineStr">
        <is>
          <t>补水罐总储备量m3</t>
        </is>
      </c>
      <c r="AC29" s="88">
        <f>(AC26+AC28)*2.25*2.25*3.14</f>
        <v/>
      </c>
      <c r="AD29" s="71" t="n"/>
      <c r="AE29" s="72" t="n"/>
    </row>
    <row r="30" ht="42" customHeight="1" s="1">
      <c r="A30" s="46" t="n"/>
      <c r="B30" s="47" t="n"/>
      <c r="C30" s="80" t="inlineStr">
        <is>
          <t>蒸发器小温差（℃）</t>
        </is>
      </c>
      <c r="D30" s="88" t="inlineStr">
        <is>
          <t>0.5</t>
        </is>
      </c>
      <c r="E30" s="80" t="inlineStr">
        <is>
          <t>出水温度(℃)</t>
        </is>
      </c>
      <c r="F30" s="70" t="n"/>
      <c r="G30" s="72" t="n"/>
      <c r="H30" s="80" t="inlineStr">
        <is>
          <t>PH</t>
        </is>
      </c>
      <c r="I30" s="70" t="inlineStr">
        <is>
          <t>8.6</t>
        </is>
      </c>
      <c r="J30" s="72" t="n"/>
      <c r="K30" s="80" t="inlineStr">
        <is>
          <t>板换小温差（℃）</t>
        </is>
      </c>
      <c r="L30" s="70">
        <f>L29-L25</f>
        <v/>
      </c>
      <c r="M30" s="80" t="inlineStr">
        <is>
          <t>冷冻出水压力（Mpa）</t>
        </is>
      </c>
      <c r="N30" s="84" t="inlineStr">
        <is>
          <t>2.5</t>
        </is>
      </c>
      <c r="O30" s="53" t="n"/>
      <c r="P30" s="80" t="inlineStr">
        <is>
          <t>蒸发器小温差（℃）</t>
        </is>
      </c>
      <c r="Q30" s="88" t="inlineStr">
        <is>
          <t>0.8</t>
        </is>
      </c>
      <c r="R30" s="80" t="inlineStr">
        <is>
          <t>出水温度(℃)</t>
        </is>
      </c>
      <c r="S30" s="70" t="inlineStr">
        <is>
          <t>19.92</t>
        </is>
      </c>
      <c r="T30" s="72" t="n"/>
      <c r="U30" s="80" t="inlineStr">
        <is>
          <t>PH</t>
        </is>
      </c>
      <c r="V30" s="70" t="inlineStr">
        <is>
          <t>8.63</t>
        </is>
      </c>
      <c r="W30" s="72" t="n"/>
      <c r="X30" s="80" t="inlineStr">
        <is>
          <t>板换小温差（℃）</t>
        </is>
      </c>
      <c r="Y30" s="70">
        <f>Y29-Y25</f>
        <v/>
      </c>
      <c r="Z30" s="80" t="inlineStr">
        <is>
          <t>冷冻出水压力（Mpa）</t>
        </is>
      </c>
      <c r="AA30" s="84" t="inlineStr">
        <is>
          <t>2.52</t>
        </is>
      </c>
      <c r="AB30" s="98" t="inlineStr">
        <is>
          <t>暖通主要控制点
（依据实际控制点进行确定）</t>
        </is>
      </c>
      <c r="AC30" s="91" t="n"/>
      <c r="AD30" s="91" t="n"/>
      <c r="AE30" s="92" t="n"/>
    </row>
    <row r="31" ht="42" customHeight="1" s="1">
      <c r="A31" s="46" t="n"/>
      <c r="B31" s="47" t="n"/>
      <c r="C31" s="80" t="inlineStr">
        <is>
          <t>冷凝器小温差（℃）</t>
        </is>
      </c>
      <c r="D31" s="88" t="inlineStr">
        <is>
          <t>0.6</t>
        </is>
      </c>
      <c r="E31" s="99" t="n"/>
      <c r="F31" s="80" t="n"/>
      <c r="G31" s="72" t="n"/>
      <c r="H31" s="80" t="inlineStr">
        <is>
          <t>电导率us/cm</t>
        </is>
      </c>
      <c r="I31" s="70" t="inlineStr">
        <is>
          <t>1592.0</t>
        </is>
      </c>
      <c r="J31" s="72" t="n"/>
      <c r="K31" s="80" t="n"/>
      <c r="L31" s="80" t="n"/>
      <c r="M31" s="80" t="inlineStr">
        <is>
          <t>冷冻进出水压差（Mpa）</t>
        </is>
      </c>
      <c r="N31" s="70">
        <f>N29-N30</f>
        <v/>
      </c>
      <c r="O31" s="53" t="n"/>
      <c r="P31" s="80" t="inlineStr">
        <is>
          <t>冷凝器小温差（℃）</t>
        </is>
      </c>
      <c r="Q31" s="88" t="inlineStr">
        <is>
          <t>0.6</t>
        </is>
      </c>
      <c r="R31" s="99" t="n"/>
      <c r="S31" s="80" t="n"/>
      <c r="T31" s="72" t="n"/>
      <c r="U31" s="80" t="inlineStr">
        <is>
          <t>电导率us/cm</t>
        </is>
      </c>
      <c r="V31" s="70" t="inlineStr">
        <is>
          <t>1584.0</t>
        </is>
      </c>
      <c r="W31" s="72" t="n"/>
      <c r="X31" s="80" t="n"/>
      <c r="Y31" s="80" t="n"/>
      <c r="Z31" s="80" t="inlineStr">
        <is>
          <t>冷冻进出水压差（Mpa）</t>
        </is>
      </c>
      <c r="AA31" s="70">
        <f>AA29-AA30</f>
        <v/>
      </c>
      <c r="AE31" s="47" t="n"/>
    </row>
    <row r="32" ht="16.95" customHeight="1" s="1">
      <c r="A32" s="46" t="n"/>
      <c r="B32" s="47" t="n"/>
      <c r="C32" s="27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2" t="n"/>
      <c r="O32" s="53" t="n"/>
      <c r="P32" s="79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2" t="n"/>
      <c r="AB32" s="94" t="n"/>
      <c r="AC32" s="94" t="n"/>
      <c r="AD32" s="94" t="n"/>
      <c r="AE32" s="95" t="n"/>
    </row>
    <row r="33" ht="25.05" customHeight="1" s="1">
      <c r="A33" s="46" t="n"/>
      <c r="B33" s="47" t="n"/>
      <c r="C33" s="82" t="inlineStr">
        <is>
          <t>机组编号</t>
        </is>
      </c>
      <c r="D33" s="88" t="inlineStr">
        <is>
          <t>3号制冷单元→预冷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2" t="n"/>
      <c r="O33" s="53" t="n"/>
      <c r="P33" s="37" t="inlineStr">
        <is>
          <t>机组编号</t>
        </is>
      </c>
      <c r="Q33" s="88" t="inlineStr">
        <is>
          <t>6号制冷单元→预冷</t>
        </is>
      </c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2" t="n"/>
      <c r="AB33" s="85" t="inlineStr">
        <is>
          <t>蒸发器小温差（℃）</t>
        </is>
      </c>
      <c r="AC33" s="72" t="n"/>
      <c r="AD33" s="100" t="inlineStr">
        <is>
          <t>≤3</t>
        </is>
      </c>
      <c r="AE33" s="72" t="n"/>
    </row>
    <row r="34" ht="25.05" customHeight="1" s="1">
      <c r="A34" s="46" t="n"/>
      <c r="B34" s="47" t="n"/>
      <c r="C34" s="82" t="inlineStr">
        <is>
          <t>设备</t>
        </is>
      </c>
      <c r="D34" s="82" t="inlineStr">
        <is>
          <t>冷机</t>
        </is>
      </c>
      <c r="E34" s="82" t="inlineStr">
        <is>
          <t>冷塔</t>
        </is>
      </c>
      <c r="F34" s="71" t="n"/>
      <c r="G34" s="72" t="n"/>
      <c r="H34" s="82" t="inlineStr">
        <is>
          <t>冷却泵</t>
        </is>
      </c>
      <c r="I34" s="72" t="n"/>
      <c r="J34" s="82" t="inlineStr">
        <is>
          <t>一次泵</t>
        </is>
      </c>
      <c r="K34" s="82" t="inlineStr">
        <is>
          <t>板换</t>
        </is>
      </c>
      <c r="L34" s="71" t="n"/>
      <c r="M34" s="71" t="n"/>
      <c r="N34" s="72" t="n"/>
      <c r="O34" s="53" t="n"/>
      <c r="P34" s="37" t="inlineStr">
        <is>
          <t>设备</t>
        </is>
      </c>
      <c r="Q34" s="82" t="inlineStr">
        <is>
          <t>冷机</t>
        </is>
      </c>
      <c r="R34" s="82" t="inlineStr">
        <is>
          <t>冷塔</t>
        </is>
      </c>
      <c r="S34" s="71" t="n"/>
      <c r="T34" s="72" t="n"/>
      <c r="U34" s="82" t="inlineStr">
        <is>
          <t>冷却泵</t>
        </is>
      </c>
      <c r="V34" s="72" t="n"/>
      <c r="W34" s="82" t="inlineStr">
        <is>
          <t>一次泵</t>
        </is>
      </c>
      <c r="X34" s="82" t="inlineStr">
        <is>
          <t>板换</t>
        </is>
      </c>
      <c r="Y34" s="71" t="n"/>
      <c r="Z34" s="71" t="n"/>
      <c r="AA34" s="72" t="n"/>
      <c r="AB34" s="85" t="inlineStr">
        <is>
          <t>冷凝器小温差（℃）</t>
        </is>
      </c>
      <c r="AC34" s="72" t="n"/>
      <c r="AD34" s="100" t="inlineStr">
        <is>
          <t>≤3</t>
        </is>
      </c>
      <c r="AE34" s="72" t="n"/>
    </row>
    <row r="35" ht="42" customHeight="1" s="1">
      <c r="A35" s="46" t="n"/>
      <c r="B35" s="47" t="n"/>
      <c r="C35" s="101" t="inlineStr">
        <is>
          <t>运行负荷</t>
        </is>
      </c>
      <c r="D35" s="88" t="inlineStr">
        <is>
          <t>38.6</t>
        </is>
      </c>
      <c r="E35" s="102" t="inlineStr">
        <is>
          <t>自动</t>
        </is>
      </c>
      <c r="F35" s="71" t="n"/>
      <c r="G35" s="72" t="n"/>
      <c r="H35" s="102" t="inlineStr">
        <is>
          <t>自动</t>
        </is>
      </c>
      <c r="I35" s="72" t="n"/>
      <c r="J35" s="102" t="inlineStr">
        <is>
          <t>自动</t>
        </is>
      </c>
      <c r="K35" s="100" t="inlineStr">
        <is>
          <t>冷却进水温度(℃)</t>
        </is>
      </c>
      <c r="L35" s="102" t="inlineStr">
        <is>
          <t>19.89</t>
        </is>
      </c>
      <c r="M35" s="100" t="inlineStr">
        <is>
          <t>冷却进水压力（Mpa）</t>
        </is>
      </c>
      <c r="N35" s="103" t="inlineStr">
        <is>
          <t>3.88</t>
        </is>
      </c>
      <c r="O35" s="53" t="n"/>
      <c r="P35" s="101" t="inlineStr">
        <is>
          <t>运行负荷</t>
        </is>
      </c>
      <c r="Q35" s="88" t="inlineStr">
        <is>
          <t>38.1</t>
        </is>
      </c>
      <c r="R35" s="102" t="inlineStr">
        <is>
          <t>自动</t>
        </is>
      </c>
      <c r="S35" s="71" t="n"/>
      <c r="T35" s="72" t="n"/>
      <c r="U35" s="102" t="inlineStr">
        <is>
          <t>自动</t>
        </is>
      </c>
      <c r="V35" s="72" t="n"/>
      <c r="W35" s="102" t="inlineStr">
        <is>
          <t>自动</t>
        </is>
      </c>
      <c r="X35" s="100" t="inlineStr">
        <is>
          <t>冷却进水温度(℃)</t>
        </is>
      </c>
      <c r="Y35" s="102" t="inlineStr">
        <is>
          <t>19.98</t>
        </is>
      </c>
      <c r="Z35" s="100" t="inlineStr">
        <is>
          <t>冷却进水压力（Mpa）</t>
        </is>
      </c>
      <c r="AA35" s="102" t="inlineStr">
        <is>
          <t>3.7</t>
        </is>
      </c>
      <c r="AB35" s="85" t="inlineStr">
        <is>
          <t>PH（25℃）</t>
        </is>
      </c>
      <c r="AC35" s="72" t="n"/>
      <c r="AD35" s="104" t="inlineStr">
        <is>
          <t>7.5-9.0</t>
        </is>
      </c>
      <c r="AE35" s="72" t="n"/>
    </row>
    <row r="36" ht="24" customHeight="1" s="1">
      <c r="A36" s="46" t="n"/>
      <c r="B36" s="47" t="n"/>
      <c r="C36" s="100" t="inlineStr">
        <is>
          <t>冷冻水供水温度
(℃)</t>
        </is>
      </c>
      <c r="D36" s="105" t="inlineStr">
        <is>
          <t>14.8</t>
        </is>
      </c>
      <c r="E36" s="82" t="inlineStr">
        <is>
          <t>频率(HZ)</t>
        </is>
      </c>
      <c r="F36" s="102" t="inlineStr">
        <is>
          <t>1#</t>
        </is>
      </c>
      <c r="G36" s="102" t="inlineStr">
        <is>
          <t>2#</t>
        </is>
      </c>
      <c r="H36" s="82" t="inlineStr">
        <is>
          <t>频率(HZ)</t>
        </is>
      </c>
      <c r="I36" s="102" t="inlineStr">
        <is>
          <t>31.84</t>
        </is>
      </c>
      <c r="J36" s="102" t="inlineStr">
        <is>
          <t>24.82</t>
        </is>
      </c>
      <c r="K36" s="100" t="inlineStr">
        <is>
          <t>冷却出水温度(℃)</t>
        </is>
      </c>
      <c r="L36" s="102" t="inlineStr">
        <is>
          <t>21.29</t>
        </is>
      </c>
      <c r="M36" s="100" t="inlineStr">
        <is>
          <t>冷却出水压力（Mpa）</t>
        </is>
      </c>
      <c r="N36" s="103" t="inlineStr">
        <is>
          <t>/</t>
        </is>
      </c>
      <c r="O36" s="53" t="n"/>
      <c r="P36" s="100" t="inlineStr">
        <is>
          <t>冷冻水供水温度
(℃)</t>
        </is>
      </c>
      <c r="Q36" s="105" t="inlineStr">
        <is>
          <t>16.2</t>
        </is>
      </c>
      <c r="R36" s="82" t="inlineStr">
        <is>
          <t>频率(HZ)</t>
        </is>
      </c>
      <c r="S36" s="102" t="inlineStr">
        <is>
          <t>1#</t>
        </is>
      </c>
      <c r="T36" s="102" t="inlineStr">
        <is>
          <t>2#</t>
        </is>
      </c>
      <c r="U36" s="82" t="inlineStr">
        <is>
          <t>频率(HZ)</t>
        </is>
      </c>
      <c r="V36" s="102" t="inlineStr">
        <is>
          <t>30.65</t>
        </is>
      </c>
      <c r="W36" s="102" t="inlineStr">
        <is>
          <t>25.51</t>
        </is>
      </c>
      <c r="X36" s="100" t="inlineStr">
        <is>
          <t>冷却出水温度(℃)</t>
        </is>
      </c>
      <c r="Y36" s="102" t="inlineStr">
        <is>
          <t>22.64</t>
        </is>
      </c>
      <c r="Z36" s="100" t="inlineStr">
        <is>
          <t>冷却出水压力（Mpa）</t>
        </is>
      </c>
      <c r="AA36" s="102" t="inlineStr">
        <is>
          <t>/</t>
        </is>
      </c>
      <c r="AB36" s="85" t="inlineStr">
        <is>
          <t>电导率us/cm</t>
        </is>
      </c>
      <c r="AC36" s="92" t="n"/>
      <c r="AD36" s="100" t="inlineStr">
        <is>
          <t>＜1500</t>
        </is>
      </c>
      <c r="AE36" s="92" t="n"/>
    </row>
    <row r="37" ht="24" customHeight="1" s="1">
      <c r="A37" s="46" t="n"/>
      <c r="B37" s="47" t="n"/>
      <c r="C37" s="30" t="n"/>
      <c r="D37" s="30" t="n"/>
      <c r="E37" s="30" t="n"/>
      <c r="F37" s="102" t="inlineStr">
        <is>
          <t>/</t>
        </is>
      </c>
      <c r="G37" s="102" t="inlineStr">
        <is>
          <t>/</t>
        </is>
      </c>
      <c r="H37" s="30" t="n"/>
      <c r="I37" s="30" t="n"/>
      <c r="J37" s="30" t="n"/>
      <c r="K37" s="30" t="n"/>
      <c r="L37" s="30" t="n"/>
      <c r="M37" s="30" t="n"/>
      <c r="N37" s="93" t="n"/>
      <c r="O37" s="53" t="n"/>
      <c r="P37" s="30" t="n"/>
      <c r="Q37" s="30" t="n"/>
      <c r="R37" s="30" t="n"/>
      <c r="S37" s="102" t="inlineStr">
        <is>
          <t>/</t>
        </is>
      </c>
      <c r="T37" s="102" t="inlineStr">
        <is>
          <t>/</t>
        </is>
      </c>
      <c r="U37" s="30" t="n"/>
      <c r="V37" s="30" t="n"/>
      <c r="W37" s="30" t="n"/>
      <c r="X37" s="30" t="n"/>
      <c r="Y37" s="30" t="n"/>
      <c r="Z37" s="30" t="n"/>
      <c r="AA37" s="30" t="n"/>
      <c r="AB37" s="94" t="n"/>
      <c r="AC37" s="95" t="n"/>
      <c r="AD37" s="93" t="n"/>
      <c r="AE37" s="95" t="n"/>
    </row>
    <row r="38" ht="42" customHeight="1" s="1">
      <c r="A38" s="46" t="n"/>
      <c r="B38" s="47" t="n"/>
      <c r="C38" s="100" t="inlineStr">
        <is>
          <t>冷却水进水温度
(℃)</t>
        </is>
      </c>
      <c r="D38" s="88" t="inlineStr">
        <is>
          <t>21.4</t>
        </is>
      </c>
      <c r="E38" s="100" t="inlineStr">
        <is>
          <t>冷塔温度
设定值</t>
        </is>
      </c>
      <c r="F38" s="102" t="inlineStr">
        <is>
          <t>/</t>
        </is>
      </c>
      <c r="G38" s="72" t="n"/>
      <c r="H38" s="100" t="inlineStr">
        <is>
          <t>进水压力(Mpa)</t>
        </is>
      </c>
      <c r="I38" s="102" t="inlineStr">
        <is>
          <t>/</t>
        </is>
      </c>
      <c r="J38" s="102" t="inlineStr">
        <is>
          <t>/</t>
        </is>
      </c>
      <c r="K38" s="100" t="inlineStr">
        <is>
          <t>冷冻进水温度(℃)</t>
        </is>
      </c>
      <c r="L38" s="102" t="inlineStr">
        <is>
          <t>21.64</t>
        </is>
      </c>
      <c r="M38" s="100" t="inlineStr">
        <is>
          <t>冷却进出水压差（Mpa）</t>
        </is>
      </c>
      <c r="N38" s="103" t="e">
        <v>#VALUE!</v>
      </c>
      <c r="O38" s="53" t="n"/>
      <c r="P38" s="100" t="inlineStr">
        <is>
          <t>冷却水进水温度
(℃)</t>
        </is>
      </c>
      <c r="Q38" s="88" t="inlineStr">
        <is>
          <t>22.6</t>
        </is>
      </c>
      <c r="R38" s="100" t="inlineStr">
        <is>
          <t>冷塔温度
设定值</t>
        </is>
      </c>
      <c r="S38" s="102" t="inlineStr">
        <is>
          <t>/</t>
        </is>
      </c>
      <c r="T38" s="72" t="n"/>
      <c r="U38" s="100" t="inlineStr">
        <is>
          <t>进水压力(Mpa)</t>
        </is>
      </c>
      <c r="V38" s="102" t="inlineStr">
        <is>
          <t>/</t>
        </is>
      </c>
      <c r="W38" s="102" t="inlineStr">
        <is>
          <t>/</t>
        </is>
      </c>
      <c r="X38" s="100" t="inlineStr">
        <is>
          <t>冷冻进水温度(℃)</t>
        </is>
      </c>
      <c r="Y38" s="102" t="inlineStr">
        <is>
          <t>23.61</t>
        </is>
      </c>
      <c r="Z38" s="100" t="inlineStr">
        <is>
          <t>冷却进出水压差（Mpa）</t>
        </is>
      </c>
      <c r="AA38" s="102" t="e">
        <v>#VALUE!</v>
      </c>
      <c r="AB38" s="85" t="inlineStr">
        <is>
          <t>包间温度（℃）</t>
        </is>
      </c>
      <c r="AC38" s="72" t="n"/>
      <c r="AD38" s="100" t="inlineStr">
        <is>
          <t>24±2</t>
        </is>
      </c>
      <c r="AE38" s="72" t="n"/>
    </row>
    <row r="39" ht="42" customHeight="1" s="1">
      <c r="A39" s="46" t="n"/>
      <c r="B39" s="47" t="n"/>
      <c r="C39" s="100" t="inlineStr">
        <is>
          <t>冷凝压力
(Kpa)</t>
        </is>
      </c>
      <c r="D39" s="88" t="inlineStr">
        <is>
          <t>597.2</t>
        </is>
      </c>
      <c r="E39" s="100" t="inlineStr">
        <is>
          <t>进水温度(℃)</t>
        </is>
      </c>
      <c r="F39" s="102" t="inlineStr">
        <is>
          <t>25.99</t>
        </is>
      </c>
      <c r="G39" s="72" t="n"/>
      <c r="H39" s="100" t="inlineStr">
        <is>
          <t>出水压力(Mpa)</t>
        </is>
      </c>
      <c r="I39" s="102" t="inlineStr">
        <is>
          <t>/</t>
        </is>
      </c>
      <c r="J39" s="102" t="inlineStr">
        <is>
          <t>3.88</t>
        </is>
      </c>
      <c r="K39" s="100" t="inlineStr">
        <is>
          <t>冷冻出水温度(℃)</t>
        </is>
      </c>
      <c r="L39" s="102" t="inlineStr">
        <is>
          <t>20.45</t>
        </is>
      </c>
      <c r="M39" s="100" t="inlineStr">
        <is>
          <t>冷冻进水压力（Mpa）</t>
        </is>
      </c>
      <c r="N39" s="103" t="inlineStr">
        <is>
          <t>2.68</t>
        </is>
      </c>
      <c r="O39" s="53" t="n"/>
      <c r="P39" s="100" t="inlineStr">
        <is>
          <t>冷凝压力
(Kpa)</t>
        </is>
      </c>
      <c r="Q39" s="88" t="inlineStr">
        <is>
          <t>599.1</t>
        </is>
      </c>
      <c r="R39" s="100" t="inlineStr">
        <is>
          <t>进水温度(℃)</t>
        </is>
      </c>
      <c r="S39" s="102" t="inlineStr">
        <is>
          <t>26.37</t>
        </is>
      </c>
      <c r="T39" s="72" t="n"/>
      <c r="U39" s="100" t="inlineStr">
        <is>
          <t>出水压力(Mpa)</t>
        </is>
      </c>
      <c r="V39" s="102" t="inlineStr">
        <is>
          <t>/</t>
        </is>
      </c>
      <c r="W39" s="102" t="inlineStr">
        <is>
          <t>3.7</t>
        </is>
      </c>
      <c r="X39" s="100" t="inlineStr">
        <is>
          <t>冷冻出水温度(℃)</t>
        </is>
      </c>
      <c r="Y39" s="102" t="inlineStr">
        <is>
          <t>20.61</t>
        </is>
      </c>
      <c r="Z39" s="100" t="inlineStr">
        <is>
          <t>冷冻进水压力（Mpa）</t>
        </is>
      </c>
      <c r="AA39" s="102" t="inlineStr">
        <is>
          <t>2.6</t>
        </is>
      </c>
      <c r="AB39" s="85" t="inlineStr">
        <is>
          <t>包间湿度（%）</t>
        </is>
      </c>
      <c r="AC39" s="72" t="n"/>
      <c r="AD39" s="100" t="inlineStr">
        <is>
          <t>30-60</t>
        </is>
      </c>
      <c r="AE39" s="72" t="n"/>
    </row>
    <row r="40" ht="42" customHeight="1" s="1">
      <c r="A40" s="46" t="n"/>
      <c r="B40" s="47" t="n"/>
      <c r="C40" s="100" t="inlineStr">
        <is>
          <t>蒸发器小温差（℃）</t>
        </is>
      </c>
      <c r="D40" s="88" t="inlineStr">
        <is>
          <t>0.7</t>
        </is>
      </c>
      <c r="E40" s="100" t="inlineStr">
        <is>
          <t>出水温度(℃)</t>
        </is>
      </c>
      <c r="F40" s="102" t="inlineStr">
        <is>
          <t>20.14</t>
        </is>
      </c>
      <c r="G40" s="72" t="n"/>
      <c r="H40" s="100" t="inlineStr">
        <is>
          <t>PH</t>
        </is>
      </c>
      <c r="I40" s="102" t="inlineStr">
        <is>
          <t>8.39</t>
        </is>
      </c>
      <c r="J40" s="72" t="n"/>
      <c r="K40" s="100" t="inlineStr">
        <is>
          <t>板换小温差（℃）</t>
        </is>
      </c>
      <c r="L40" s="102" t="e">
        <v>#VALUE!</v>
      </c>
      <c r="M40" s="100" t="inlineStr">
        <is>
          <t>冷冻出水压力（Mpa）</t>
        </is>
      </c>
      <c r="N40" s="103" t="inlineStr">
        <is>
          <t>2.51</t>
        </is>
      </c>
      <c r="O40" s="53" t="n"/>
      <c r="P40" s="100" t="inlineStr">
        <is>
          <t>蒸发器小温差（℃）</t>
        </is>
      </c>
      <c r="Q40" s="88" t="inlineStr">
        <is>
          <t>0.6</t>
        </is>
      </c>
      <c r="R40" s="100" t="inlineStr">
        <is>
          <t>出水温度(℃)</t>
        </is>
      </c>
      <c r="S40" s="102" t="inlineStr">
        <is>
          <t>19.94</t>
        </is>
      </c>
      <c r="T40" s="72" t="n"/>
      <c r="U40" s="100" t="inlineStr">
        <is>
          <t>PH</t>
        </is>
      </c>
      <c r="V40" s="102" t="inlineStr">
        <is>
          <t>8.15</t>
        </is>
      </c>
      <c r="W40" s="72" t="n"/>
      <c r="X40" s="100" t="inlineStr">
        <is>
          <t>板换小温差（℃）</t>
        </is>
      </c>
      <c r="Y40" s="102" t="e">
        <v>#VALUE!</v>
      </c>
      <c r="Z40" s="100" t="inlineStr">
        <is>
          <t>冷冻出水压力（Mpa）</t>
        </is>
      </c>
      <c r="AA40" s="102" t="inlineStr">
        <is>
          <t>2.59</t>
        </is>
      </c>
      <c r="AB40" s="85" t="inlineStr">
        <is>
          <t>电池间温度（℃）</t>
        </is>
      </c>
      <c r="AC40" s="72" t="n"/>
      <c r="AD40" s="100" t="inlineStr">
        <is>
          <t>15-25</t>
        </is>
      </c>
      <c r="AE40" s="72" t="n"/>
    </row>
    <row r="41" ht="42" customHeight="1" s="1">
      <c r="A41" s="46" t="n"/>
      <c r="B41" s="47" t="n"/>
      <c r="C41" s="100" t="inlineStr">
        <is>
          <t>冷凝器小温差（℃）</t>
        </is>
      </c>
      <c r="D41" s="88" t="inlineStr">
        <is>
          <t>0.5</t>
        </is>
      </c>
      <c r="E41" s="100" t="n"/>
      <c r="F41" s="100" t="n"/>
      <c r="G41" s="100" t="n"/>
      <c r="H41" s="100" t="inlineStr">
        <is>
          <t>电导率us/cm</t>
        </is>
      </c>
      <c r="I41" s="102" t="inlineStr">
        <is>
          <t>1576.0</t>
        </is>
      </c>
      <c r="J41" s="72" t="n"/>
      <c r="K41" s="100" t="n"/>
      <c r="L41" s="100" t="n"/>
      <c r="M41" s="100" t="inlineStr">
        <is>
          <t>冷冻进出水压差（Mpa）</t>
        </is>
      </c>
      <c r="N41" s="103" t="e">
        <v>#VALUE!</v>
      </c>
      <c r="O41" s="53" t="n"/>
      <c r="P41" s="100" t="inlineStr">
        <is>
          <t>冷凝器小温差（℃）</t>
        </is>
      </c>
      <c r="Q41" s="88" t="inlineStr">
        <is>
          <t>0.2</t>
        </is>
      </c>
      <c r="R41" s="100" t="n"/>
      <c r="S41" s="100" t="n"/>
      <c r="T41" s="100" t="n"/>
      <c r="U41" s="100" t="inlineStr">
        <is>
          <t>电导率us/cm</t>
        </is>
      </c>
      <c r="V41" s="102" t="inlineStr">
        <is>
          <t>1568.0</t>
        </is>
      </c>
      <c r="W41" s="72" t="n"/>
      <c r="X41" s="100" t="n"/>
      <c r="Y41" s="100" t="n"/>
      <c r="Z41" s="100" t="inlineStr">
        <is>
          <t>冷冻进出水压差（Mpa）</t>
        </is>
      </c>
      <c r="AA41" s="102" t="e">
        <v>#VALUE!</v>
      </c>
      <c r="AB41" s="77" t="n"/>
      <c r="AC41" s="78" t="n"/>
      <c r="AD41" s="78" t="n"/>
      <c r="AE41" s="79" t="n"/>
    </row>
    <row r="42" ht="42" customHeight="1" s="1">
      <c r="A42" s="46" t="n"/>
      <c r="B42" s="47" t="n"/>
      <c r="C42" s="82" t="inlineStr">
        <is>
          <t>制冷冗余</t>
        </is>
      </c>
      <c r="D42" s="88" t="inlineStr">
        <is>
          <t>2用（1）备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2" t="n"/>
      <c r="O42" s="30" t="n"/>
      <c r="P42" s="82" t="inlineStr">
        <is>
          <t>制冷冗余</t>
        </is>
      </c>
      <c r="Q42" s="88" t="inlineStr">
        <is>
          <t>2用（1）备</t>
        </is>
      </c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2" t="n"/>
      <c r="AB42" s="77" t="n"/>
      <c r="AC42" s="78" t="n"/>
      <c r="AD42" s="78" t="n"/>
      <c r="AE42" s="79" t="n"/>
    </row>
    <row r="43" ht="30" customHeight="1" s="1">
      <c r="A43" s="46" t="n"/>
      <c r="B43" s="47" t="n"/>
      <c r="C43" s="76" t="inlineStr">
        <is>
          <t>二次泵系统</t>
        </is>
      </c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2" t="n"/>
      <c r="AB43" s="77" t="n"/>
      <c r="AC43" s="78" t="n"/>
      <c r="AD43" s="78" t="n"/>
      <c r="AE43" s="79" t="n"/>
    </row>
    <row r="44" ht="30" customHeight="1" s="1">
      <c r="A44" s="46" t="n"/>
      <c r="B44" s="47" t="n"/>
      <c r="C44" s="27" t="inlineStr">
        <is>
          <t>西区</t>
        </is>
      </c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2" t="n"/>
      <c r="O44" s="27" t="n"/>
      <c r="P44" s="27" t="inlineStr">
        <is>
          <t>东区</t>
        </is>
      </c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2" t="n"/>
      <c r="AB44" s="77" t="n"/>
      <c r="AC44" s="78" t="n"/>
      <c r="AD44" s="78" t="n"/>
      <c r="AE44" s="79" t="n"/>
    </row>
    <row r="45" ht="42" customHeight="1" s="1">
      <c r="A45" s="46" t="n"/>
      <c r="B45" s="47" t="n"/>
      <c r="C45" s="100" t="inlineStr">
        <is>
          <t>主DDC
运行状态</t>
        </is>
      </c>
      <c r="D45" s="72" t="n"/>
      <c r="E45" s="102" t="inlineStr">
        <is>
          <t>启用</t>
        </is>
      </c>
      <c r="F45" s="100" t="inlineStr">
        <is>
          <t>末端压差设定值</t>
        </is>
      </c>
      <c r="G45" s="102" t="n">
        <v>0.09</v>
      </c>
      <c r="H45" s="72" t="n"/>
      <c r="I45" s="100" t="inlineStr">
        <is>
          <t>末端压差最小值(Mpa)</t>
        </is>
      </c>
      <c r="J45" s="102" t="n">
        <v>0.089</v>
      </c>
      <c r="K45" s="72" t="n"/>
      <c r="L45" s="100" t="inlineStr">
        <is>
          <t>末端压差最大值(Mpa)</t>
        </is>
      </c>
      <c r="M45" s="102" t="n">
        <v>0.09</v>
      </c>
      <c r="N45" s="72" t="n"/>
      <c r="O45" s="53" t="n"/>
      <c r="P45" s="100" t="inlineStr">
        <is>
          <t>主DDC
运行状态</t>
        </is>
      </c>
      <c r="Q45" s="72" t="n"/>
      <c r="R45" s="102" t="inlineStr">
        <is>
          <t>启用</t>
        </is>
      </c>
      <c r="S45" s="100" t="inlineStr">
        <is>
          <t>末端压差设定值(Mpa)</t>
        </is>
      </c>
      <c r="T45" s="102" t="n">
        <v>0.09</v>
      </c>
      <c r="U45" s="72" t="n"/>
      <c r="V45" s="100" t="inlineStr">
        <is>
          <t>末端压差最小值(Mpa)</t>
        </is>
      </c>
      <c r="W45" s="102" t="n">
        <v>0.089</v>
      </c>
      <c r="X45" s="72" t="n"/>
      <c r="Y45" s="100" t="inlineStr">
        <is>
          <t>末端压差最大值(Mpa)</t>
        </is>
      </c>
      <c r="Z45" s="102" t="n">
        <v>0.093</v>
      </c>
      <c r="AA45" s="72" t="n"/>
      <c r="AB45" s="77" t="n"/>
      <c r="AC45" s="78" t="n"/>
      <c r="AD45" s="78" t="n"/>
      <c r="AE45" s="79" t="n"/>
    </row>
    <row r="46" ht="42" customHeight="1" s="1">
      <c r="A46" s="46" t="n"/>
      <c r="B46" s="47" t="n"/>
      <c r="C46" s="100" t="inlineStr">
        <is>
          <t>备DDC
运行状态</t>
        </is>
      </c>
      <c r="D46" s="72" t="n"/>
      <c r="E46" s="102" t="inlineStr">
        <is>
          <t>备用</t>
        </is>
      </c>
      <c r="F46" s="100" t="inlineStr">
        <is>
          <t>末端压差设定值</t>
        </is>
      </c>
      <c r="G46" s="102" t="n">
        <v>0.09</v>
      </c>
      <c r="H46" s="72" t="n"/>
      <c r="I46" s="100" t="inlineStr">
        <is>
          <t>末端压差最小值(Mpa)</t>
        </is>
      </c>
      <c r="J46" s="102" t="n">
        <v>0.089</v>
      </c>
      <c r="K46" s="72" t="n"/>
      <c r="L46" s="100" t="inlineStr">
        <is>
          <t>末端压差最大值(Mpa)</t>
        </is>
      </c>
      <c r="M46" s="102" t="n">
        <v>0.09</v>
      </c>
      <c r="N46" s="72" t="n"/>
      <c r="O46" s="53" t="n"/>
      <c r="P46" s="100" t="inlineStr">
        <is>
          <t>备DDC
运行状态</t>
        </is>
      </c>
      <c r="Q46" s="72" t="n"/>
      <c r="R46" s="102" t="inlineStr">
        <is>
          <t>备用</t>
        </is>
      </c>
      <c r="S46" s="100" t="inlineStr">
        <is>
          <t>末端压差设定值(Mpa)</t>
        </is>
      </c>
      <c r="T46" s="102" t="n">
        <v>0.09</v>
      </c>
      <c r="U46" s="72" t="n"/>
      <c r="V46" s="100" t="inlineStr">
        <is>
          <t>末端压差最小值(Mpa)</t>
        </is>
      </c>
      <c r="W46" s="102" t="n">
        <v>0.09</v>
      </c>
      <c r="X46" s="72" t="n"/>
      <c r="Y46" s="100" t="inlineStr">
        <is>
          <t>末端压差最大值(Mpa)</t>
        </is>
      </c>
      <c r="Z46" s="102" t="n">
        <v>0.093</v>
      </c>
      <c r="AA46" s="72" t="n"/>
      <c r="AB46" s="77" t="n"/>
      <c r="AC46" s="78" t="n"/>
      <c r="AD46" s="78" t="n"/>
      <c r="AE46" s="79" t="n"/>
    </row>
    <row r="47" ht="25.05" customHeight="1" s="1">
      <c r="A47" s="46" t="n"/>
      <c r="B47" s="47" t="n"/>
      <c r="C47" s="88" t="inlineStr">
        <is>
          <t>2#二次泵</t>
        </is>
      </c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2" t="n"/>
      <c r="O47" s="53" t="n"/>
      <c r="P47" s="88" t="inlineStr">
        <is>
          <t>5#二次泵</t>
        </is>
      </c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2" t="n"/>
      <c r="AB47" s="77" t="n"/>
      <c r="AC47" s="78" t="n"/>
      <c r="AD47" s="78" t="n"/>
      <c r="AE47" s="79" t="n"/>
    </row>
    <row r="48" ht="42" customHeight="1" s="1">
      <c r="A48" s="46" t="n"/>
      <c r="B48" s="47" t="n"/>
      <c r="C48" s="100" t="inlineStr">
        <is>
          <t>频率
（Hz）</t>
        </is>
      </c>
      <c r="D48" s="102" t="inlineStr">
        <is>
          <t>30.69</t>
        </is>
      </c>
      <c r="E48" s="100" t="inlineStr">
        <is>
          <t>二次泵进口压力（Mpa）</t>
        </is>
      </c>
      <c r="F48" s="72" t="n"/>
      <c r="G48" s="102" t="n">
        <v>0.28</v>
      </c>
      <c r="H48" s="72" t="n"/>
      <c r="I48" s="100" t="inlineStr">
        <is>
          <t>二次泵出口压力（Mpa）</t>
        </is>
      </c>
      <c r="J48" s="72" t="n"/>
      <c r="K48" s="102" t="n">
        <v>0.38</v>
      </c>
      <c r="L48" s="72" t="n"/>
      <c r="M48" s="100" t="inlineStr">
        <is>
          <t>压差
（Mpa）</t>
        </is>
      </c>
      <c r="N48" s="102">
        <f>K48-G48</f>
        <v/>
      </c>
      <c r="O48" s="53" t="n"/>
      <c r="P48" s="100" t="inlineStr">
        <is>
          <t>频率
（Hz）</t>
        </is>
      </c>
      <c r="Q48" s="102" t="n">
        <v>30</v>
      </c>
      <c r="R48" s="100" t="inlineStr">
        <is>
          <t>二次泵进口压力（Mpa）</t>
        </is>
      </c>
      <c r="S48" s="72" t="n"/>
      <c r="T48" s="102" t="n">
        <v>0.26</v>
      </c>
      <c r="U48" s="72" t="n"/>
      <c r="V48" s="100" t="inlineStr">
        <is>
          <t>二次泵出口压力（Mpa）</t>
        </is>
      </c>
      <c r="W48" s="72" t="n"/>
      <c r="X48" s="102" t="n">
        <v>0.36</v>
      </c>
      <c r="Y48" s="72" t="n"/>
      <c r="Z48" s="100" t="inlineStr">
        <is>
          <t>压差
（Mpa）</t>
        </is>
      </c>
      <c r="AA48" s="100">
        <f>X48-T48</f>
        <v/>
      </c>
      <c r="AB48" s="77" t="n"/>
      <c r="AC48" s="78" t="n"/>
      <c r="AD48" s="78" t="n"/>
      <c r="AE48" s="79" t="n"/>
    </row>
    <row r="49" ht="42" customHeight="1" s="1">
      <c r="A49" s="93" t="n"/>
      <c r="B49" s="95" t="n"/>
      <c r="C49" s="100" t="inlineStr">
        <is>
          <t>二次泵
冗余</t>
        </is>
      </c>
      <c r="D49" s="88" t="inlineStr">
        <is>
          <t>2用（1）备</t>
        </is>
      </c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2" t="n"/>
      <c r="O49" s="30" t="n"/>
      <c r="P49" s="100" t="inlineStr">
        <is>
          <t>二次泵
冗余</t>
        </is>
      </c>
      <c r="Q49" s="88" t="inlineStr">
        <is>
          <t>0用（3）备</t>
        </is>
      </c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2" t="n"/>
      <c r="AB49" s="77" t="n"/>
      <c r="AC49" s="78" t="n"/>
      <c r="AD49" s="78" t="n"/>
      <c r="AE49" s="79" t="n"/>
    </row>
    <row r="50">
      <c r="A50" s="26" t="inlineStr">
        <is>
          <t>六、【设备变更】</t>
        </is>
      </c>
      <c r="B50" s="72" t="n"/>
      <c r="C50" s="106" t="inlineStr">
        <is>
          <t>/</t>
        </is>
      </c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2" t="n"/>
    </row>
    <row r="51">
      <c r="A51" s="26" t="inlineStr">
        <is>
          <t>七、【施工情况】</t>
        </is>
      </c>
      <c r="B51" s="72" t="n"/>
      <c r="C51" s="106" t="inlineStr">
        <is>
          <t>/</t>
        </is>
      </c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2" t="n"/>
    </row>
    <row r="52">
      <c r="A52" s="26" t="inlineStr">
        <is>
          <t>八、【MOP维保】</t>
        </is>
      </c>
      <c r="B52" s="72" t="n"/>
      <c r="C52" s="106" t="inlineStr">
        <is>
          <t>/</t>
        </is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2" t="n"/>
    </row>
    <row r="53">
      <c r="A53" s="26" t="inlineStr">
        <is>
          <t>九、【消防报警】</t>
        </is>
      </c>
      <c r="B53" s="72" t="n"/>
      <c r="C53" s="106" t="inlineStr">
        <is>
          <t>/</t>
        </is>
      </c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2" t="n"/>
    </row>
    <row r="54">
      <c r="A54" s="107" t="inlineStr">
        <is>
          <t>十、【容量管理】</t>
        </is>
      </c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2" t="n"/>
    </row>
    <row r="55" ht="28" customHeight="1" s="1">
      <c r="A55" s="108" t="inlineStr">
        <is>
          <t>110KV变电站</t>
        </is>
      </c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62" t="n"/>
      <c r="N55" s="62" t="n"/>
      <c r="O55" s="110" t="inlineStr">
        <is>
          <t>B楼能耗一览</t>
        </is>
      </c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2" t="n"/>
      <c r="AA55" s="62" t="n"/>
      <c r="AB55" s="111" t="inlineStr">
        <is>
          <t>机柜总数</t>
        </is>
      </c>
      <c r="AC55" s="111" t="inlineStr">
        <is>
          <t>已上电机柜数</t>
        </is>
      </c>
      <c r="AD55" s="112" t="inlineStr">
        <is>
          <t>IT机柜总
上电率</t>
        </is>
      </c>
      <c r="AE55" s="72" t="n"/>
    </row>
    <row r="56">
      <c r="A56" s="113" t="inlineStr">
        <is>
          <t>进线</t>
        </is>
      </c>
      <c r="B56" s="67" t="n"/>
      <c r="C56" s="114" t="inlineStr">
        <is>
          <t>线电压</t>
        </is>
      </c>
      <c r="D56" s="67" t="n"/>
      <c r="E56" s="114" t="inlineStr">
        <is>
          <t>电流</t>
        </is>
      </c>
      <c r="F56" s="67" t="n"/>
      <c r="G56" s="115" t="inlineStr">
        <is>
          <t>当前功率KW</t>
        </is>
      </c>
      <c r="H56" s="67" t="n"/>
      <c r="I56" s="114" t="inlineStr">
        <is>
          <t>功率因数</t>
        </is>
      </c>
      <c r="J56" s="67" t="n"/>
      <c r="K56" s="114" t="inlineStr">
        <is>
          <t>负载率</t>
        </is>
      </c>
      <c r="L56" s="67" t="n"/>
      <c r="M56" s="116" t="n"/>
      <c r="N56" s="116" t="n"/>
      <c r="O56" s="117" t="inlineStr">
        <is>
          <t>每日用水量m3</t>
        </is>
      </c>
      <c r="P56" s="71" t="n"/>
      <c r="Q56" s="72" t="n"/>
      <c r="R56" s="100" t="inlineStr">
        <is>
          <t>本月总用水量m3</t>
        </is>
      </c>
      <c r="S56" s="71" t="n"/>
      <c r="T56" s="71" t="n"/>
      <c r="U56" s="72" t="n"/>
      <c r="V56" s="100" t="inlineStr">
        <is>
          <t>每日用电量kwh</t>
        </is>
      </c>
      <c r="W56" s="71" t="n"/>
      <c r="X56" s="72" t="n"/>
      <c r="Y56" s="100" t="inlineStr">
        <is>
          <t>本月用电量kwh</t>
        </is>
      </c>
      <c r="Z56" s="72" t="n"/>
      <c r="AA56" s="62" t="n"/>
      <c r="AB56" s="118" t="inlineStr">
        <is>
          <t>107600</t>
        </is>
      </c>
      <c r="AC56" s="118" t="inlineStr">
        <is>
          <t>102300</t>
        </is>
      </c>
      <c r="AD56" s="119">
        <f>AC56/AB56</f>
        <v/>
      </c>
      <c r="AE56" s="92" t="n"/>
    </row>
    <row r="57">
      <c r="A57" s="113" t="inlineStr">
        <is>
          <t>阿开</t>
        </is>
      </c>
      <c r="B57" s="67" t="n"/>
      <c r="C57" s="114" t="n"/>
      <c r="D57" s="67" t="n"/>
      <c r="E57" s="114" t="n"/>
      <c r="F57" s="67" t="n"/>
      <c r="G57" s="114" t="n"/>
      <c r="H57" s="67" t="n"/>
      <c r="I57" s="114" t="n"/>
      <c r="J57" s="67" t="n"/>
      <c r="K57" s="120" t="n"/>
      <c r="L57" s="67" t="n"/>
      <c r="M57" s="62" t="n"/>
      <c r="N57" s="62" t="n"/>
      <c r="O57" s="82" t="inlineStr">
        <is>
          <t>344.6</t>
        </is>
      </c>
      <c r="P57" s="91" t="n"/>
      <c r="Q57" s="92" t="n"/>
      <c r="R57" s="121" t="inlineStr">
        <is>
          <t>8224.6</t>
        </is>
      </c>
      <c r="S57" s="91" t="n"/>
      <c r="T57" s="91" t="n"/>
      <c r="U57" s="122" t="n"/>
      <c r="V57" s="123" t="n"/>
      <c r="W57" s="91" t="n"/>
      <c r="X57" s="122" t="n"/>
      <c r="Y57" s="124" t="n"/>
      <c r="Z57" s="92" t="n"/>
      <c r="AA57" s="62" t="n"/>
      <c r="AB57" s="30" t="n"/>
      <c r="AC57" s="30" t="n"/>
      <c r="AD57" s="93" t="n"/>
      <c r="AE57" s="95" t="n"/>
    </row>
    <row r="58">
      <c r="A58" s="113" t="inlineStr">
        <is>
          <t>阿家</t>
        </is>
      </c>
      <c r="B58" s="67" t="n"/>
      <c r="C58" s="114" t="n"/>
      <c r="D58" s="67" t="n"/>
      <c r="E58" s="114" t="n"/>
      <c r="F58" s="67" t="n"/>
      <c r="G58" s="114" t="n"/>
      <c r="H58" s="67" t="n"/>
      <c r="I58" s="114" t="n"/>
      <c r="J58" s="67" t="n"/>
      <c r="K58" s="120" t="n"/>
      <c r="L58" s="67" t="n"/>
      <c r="M58" s="62" t="n"/>
      <c r="N58" s="62" t="n"/>
      <c r="O58" s="93" t="n"/>
      <c r="P58" s="94" t="n"/>
      <c r="Q58" s="95" t="n"/>
      <c r="R58" s="93" t="n"/>
      <c r="S58" s="94" t="n"/>
      <c r="T58" s="94" t="n"/>
      <c r="U58" s="125" t="n"/>
      <c r="V58" s="126" t="n"/>
      <c r="W58" s="94" t="n"/>
      <c r="X58" s="125" t="n"/>
      <c r="Y58" s="126" t="n"/>
      <c r="Z58" s="95" t="n"/>
      <c r="AA58" s="62" t="n"/>
      <c r="AB58" s="127" t="n"/>
      <c r="AC58" s="71" t="n"/>
      <c r="AD58" s="71" t="n"/>
      <c r="AE58" s="72" t="n"/>
    </row>
    <row r="59" ht="28" customHeight="1" s="1">
      <c r="A59" s="128" t="n"/>
      <c r="B59" s="128" t="n"/>
      <c r="C59" s="113" t="inlineStr">
        <is>
          <t>线电压</t>
        </is>
      </c>
      <c r="D59" s="67" t="n"/>
      <c r="E59" s="114" t="inlineStr">
        <is>
          <t>输出电流</t>
        </is>
      </c>
      <c r="F59" s="67" t="n"/>
      <c r="G59" s="115" t="inlineStr">
        <is>
          <t>当前功率KW</t>
        </is>
      </c>
      <c r="H59" s="67" t="n"/>
      <c r="I59" s="114" t="inlineStr">
        <is>
          <t>功率因数</t>
        </is>
      </c>
      <c r="J59" s="67" t="n"/>
      <c r="K59" s="114" t="inlineStr">
        <is>
          <t>负载率</t>
        </is>
      </c>
      <c r="L59" s="67" t="n"/>
      <c r="M59" s="116" t="n"/>
      <c r="N59" s="116" t="n"/>
      <c r="O59" s="129" t="inlineStr">
        <is>
          <t>总功率KW</t>
        </is>
      </c>
      <c r="P59" s="71" t="n"/>
      <c r="Q59" s="71" t="n"/>
      <c r="R59" s="72" t="n"/>
      <c r="S59" s="100" t="inlineStr">
        <is>
          <t>IT总功率KW</t>
        </is>
      </c>
      <c r="T59" s="71" t="n"/>
      <c r="U59" s="72" t="n"/>
      <c r="V59" s="100" t="inlineStr">
        <is>
          <t>PUE</t>
        </is>
      </c>
      <c r="W59" s="71" t="n"/>
      <c r="X59" s="71" t="n"/>
      <c r="Y59" s="71" t="n"/>
      <c r="Z59" s="72" t="n"/>
      <c r="AA59" s="62" t="n"/>
      <c r="AB59" s="112" t="inlineStr">
        <is>
          <t>IT规划负载</t>
        </is>
      </c>
      <c r="AC59" s="112" t="inlineStr">
        <is>
          <t>IT实际负载</t>
        </is>
      </c>
      <c r="AD59" s="112" t="inlineStr">
        <is>
          <t>IT负载率</t>
        </is>
      </c>
      <c r="AE59" s="72" t="n"/>
    </row>
    <row r="60">
      <c r="A60" s="113" t="inlineStr">
        <is>
          <t>1#主变</t>
        </is>
      </c>
      <c r="B60" s="67" t="n"/>
      <c r="C60" s="114" t="n"/>
      <c r="D60" s="67" t="n"/>
      <c r="E60" s="114" t="n"/>
      <c r="F60" s="67" t="n"/>
      <c r="G60" s="114" t="n"/>
      <c r="H60" s="67" t="n"/>
      <c r="I60" s="114" t="n"/>
      <c r="J60" s="67" t="n"/>
      <c r="K60" s="120" t="n"/>
      <c r="L60" s="67" t="n"/>
      <c r="M60" s="62" t="n"/>
      <c r="N60" s="62" t="n"/>
      <c r="O60" s="129" t="inlineStr">
        <is>
          <t>10830.71</t>
        </is>
      </c>
      <c r="P60" s="91" t="n"/>
      <c r="Q60" s="91" t="n"/>
      <c r="R60" s="92" t="n"/>
      <c r="S60" s="100" t="inlineStr">
        <is>
          <t>9051.71</t>
        </is>
      </c>
      <c r="T60" s="91" t="n"/>
      <c r="U60" s="92" t="n"/>
      <c r="V60" s="130" t="inlineStr">
        <is>
          <t>1.19</t>
        </is>
      </c>
      <c r="W60" s="91" t="n"/>
      <c r="X60" s="91" t="n"/>
      <c r="Y60" s="91" t="n"/>
      <c r="Z60" s="92" t="n"/>
      <c r="AA60" s="62" t="n"/>
      <c r="AB60" s="100" t="n">
        <v>14100</v>
      </c>
      <c r="AC60" s="100">
        <f>S60</f>
        <v/>
      </c>
      <c r="AD60" s="119">
        <f>AC60/AB60</f>
        <v/>
      </c>
      <c r="AE60" s="92" t="n"/>
    </row>
    <row r="61">
      <c r="A61" s="113" t="inlineStr">
        <is>
          <t>2#主变</t>
        </is>
      </c>
      <c r="B61" s="67" t="n"/>
      <c r="C61" s="114" t="n"/>
      <c r="D61" s="67" t="n"/>
      <c r="E61" s="114" t="n"/>
      <c r="F61" s="67" t="n"/>
      <c r="G61" s="114" t="n"/>
      <c r="H61" s="67" t="n"/>
      <c r="I61" s="114" t="n"/>
      <c r="J61" s="67" t="n"/>
      <c r="K61" s="120" t="n"/>
      <c r="L61" s="67" t="n"/>
      <c r="M61" s="62" t="n"/>
      <c r="N61" s="62" t="n"/>
      <c r="O61" s="126" t="n"/>
      <c r="P61" s="94" t="n"/>
      <c r="Q61" s="94" t="n"/>
      <c r="R61" s="95" t="n"/>
      <c r="S61" s="93" t="n"/>
      <c r="T61" s="94" t="n"/>
      <c r="U61" s="95" t="n"/>
      <c r="V61" s="93" t="n"/>
      <c r="W61" s="94" t="n"/>
      <c r="X61" s="94" t="n"/>
      <c r="Y61" s="94" t="n"/>
      <c r="Z61" s="95" t="n"/>
      <c r="AA61" s="62" t="n"/>
      <c r="AB61" s="30" t="n"/>
      <c r="AC61" s="30" t="n"/>
      <c r="AD61" s="93" t="n"/>
      <c r="AE61" s="95" t="n"/>
    </row>
    <row r="62">
      <c r="A62" s="113" t="inlineStr">
        <is>
          <t>3#主变</t>
        </is>
      </c>
      <c r="B62" s="67" t="n"/>
      <c r="C62" s="114" t="n"/>
      <c r="D62" s="67" t="n"/>
      <c r="E62" s="114" t="n"/>
      <c r="F62" s="67" t="n"/>
      <c r="G62" s="114" t="n"/>
      <c r="H62" s="67" t="n"/>
      <c r="I62" s="114" t="n"/>
      <c r="J62" s="67" t="n"/>
      <c r="K62" s="120" t="n"/>
      <c r="L62" s="67" t="n"/>
      <c r="M62" s="131" t="n"/>
      <c r="N62" s="62" t="n"/>
      <c r="O62" s="132" t="n"/>
      <c r="P62" s="132" t="n"/>
      <c r="Q62" s="132" t="n"/>
      <c r="R62" s="132" t="n"/>
      <c r="S62" s="132" t="n"/>
      <c r="T62" s="132" t="n"/>
      <c r="U62" s="132" t="n"/>
      <c r="V62" s="132" t="n"/>
      <c r="W62" s="132" t="n"/>
      <c r="X62" s="132" t="n"/>
      <c r="Y62" s="132" t="n"/>
      <c r="Z62" s="132" t="n"/>
      <c r="AA62" s="62" t="n"/>
      <c r="AB62" s="132" t="n"/>
      <c r="AC62" s="132" t="n"/>
      <c r="AD62" s="133" t="n"/>
      <c r="AE62" s="133" t="n"/>
    </row>
    <row r="63">
      <c r="A63" s="113" t="inlineStr">
        <is>
          <t>4#主变</t>
        </is>
      </c>
      <c r="B63" s="67" t="n"/>
      <c r="C63" s="114" t="n"/>
      <c r="D63" s="67" t="n"/>
      <c r="E63" s="114" t="n"/>
      <c r="F63" s="67" t="n"/>
      <c r="G63" s="114" t="n"/>
      <c r="H63" s="67" t="n"/>
      <c r="I63" s="114" t="n"/>
      <c r="J63" s="67" t="n"/>
      <c r="K63" s="120" t="n"/>
      <c r="L63" s="67" t="n"/>
      <c r="M63" s="131" t="n"/>
      <c r="N63" s="62" t="n"/>
      <c r="O63" s="132" t="n"/>
      <c r="P63" s="132" t="n"/>
      <c r="Q63" s="132" t="n"/>
      <c r="R63" s="132" t="n"/>
      <c r="S63" s="132" t="n"/>
      <c r="T63" s="132" t="n"/>
      <c r="U63" s="132" t="n"/>
      <c r="V63" s="132" t="n"/>
      <c r="W63" s="132" t="n"/>
      <c r="X63" s="132" t="n"/>
      <c r="Y63" s="132" t="n"/>
      <c r="Z63" s="132" t="n"/>
      <c r="AA63" s="62" t="n"/>
      <c r="AB63" s="132" t="n"/>
      <c r="AC63" s="132" t="n"/>
      <c r="AD63" s="133" t="n"/>
      <c r="AE63" s="133" t="n"/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</row>
    <row r="65" ht="17.5" customFormat="1" customHeight="1" s="10">
      <c r="A65" s="161" t="inlineStr">
        <is>
          <t>B楼容量一览表</t>
        </is>
      </c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2" t="n"/>
    </row>
    <row r="66" ht="74" customFormat="1" customHeight="1" s="10">
      <c r="A66" s="138" t="inlineStr">
        <is>
          <t>配电间</t>
        </is>
      </c>
      <c r="B66" s="138" t="inlineStr">
        <is>
          <t>变压器</t>
        </is>
      </c>
      <c r="C66" s="138" t="inlineStr">
        <is>
          <t>状态</t>
        </is>
      </c>
      <c r="D66" s="139" t="inlineStr">
        <is>
          <t>温度℃</t>
        </is>
      </c>
      <c r="E66" s="138" t="inlineStr">
        <is>
          <t>功率KW</t>
        </is>
      </c>
      <c r="F66" s="138" t="inlineStr">
        <is>
          <t>负载率%</t>
        </is>
      </c>
      <c r="G66" s="92" t="n"/>
      <c r="H66" s="138" t="inlineStr">
        <is>
          <t>母联状态</t>
        </is>
      </c>
      <c r="I66" s="138" t="inlineStr">
        <is>
          <t>UPS</t>
        </is>
      </c>
      <c r="J66" s="138" t="inlineStr">
        <is>
          <t>输出功率KW</t>
        </is>
      </c>
      <c r="K66" s="138" t="inlineStr">
        <is>
          <t>负载率%</t>
        </is>
      </c>
      <c r="L66" s="138" t="inlineStr">
        <is>
          <t>运行
状态</t>
        </is>
      </c>
      <c r="M66" s="138" t="inlineStr">
        <is>
          <t>电池正极电压V</t>
        </is>
      </c>
      <c r="N66" s="138" t="inlineStr">
        <is>
          <t>输出电压V</t>
        </is>
      </c>
      <c r="O66" s="138" t="inlineStr">
        <is>
          <t>HVDC</t>
        </is>
      </c>
      <c r="P66" s="138" t="inlineStr">
        <is>
          <t>浮充电压V</t>
        </is>
      </c>
      <c r="Q66" s="138" t="inlineStr">
        <is>
          <t>输出电压V</t>
        </is>
      </c>
      <c r="R66" s="138" t="inlineStr">
        <is>
          <t>输出功率kw</t>
        </is>
      </c>
      <c r="S66" s="138" t="inlineStr">
        <is>
          <t>直流列头柜</t>
        </is>
      </c>
      <c r="T66" s="92" t="n"/>
      <c r="U66" s="138" t="inlineStr">
        <is>
          <t>功率KW</t>
        </is>
      </c>
      <c r="V66" s="138" t="inlineStr">
        <is>
          <t>负载率%</t>
        </is>
      </c>
      <c r="W66" s="138" t="inlineStr">
        <is>
          <t>机房</t>
        </is>
      </c>
      <c r="X66" s="138" t="inlineStr">
        <is>
          <t>机房IT负载KW</t>
        </is>
      </c>
      <c r="Y66" s="138" t="inlineStr">
        <is>
          <t>IT负载率%</t>
        </is>
      </c>
      <c r="Z66" s="138" t="inlineStr">
        <is>
          <t>机柜总量</t>
        </is>
      </c>
      <c r="AA66" s="138" t="inlineStr">
        <is>
          <t>已上电机柜量</t>
        </is>
      </c>
      <c r="AB66" s="138" t="inlineStr">
        <is>
          <t>机柜上电率</t>
        </is>
      </c>
      <c r="AC66" s="138" t="inlineStr">
        <is>
          <t>空调启台数</t>
        </is>
      </c>
      <c r="AD66" s="138" t="inlineStr">
        <is>
          <t>空调冗余台数</t>
        </is>
      </c>
      <c r="AE66" s="140" t="inlineStr">
        <is>
          <t>空调负载KW</t>
        </is>
      </c>
    </row>
    <row r="67" ht="14.15" customFormat="1" customHeight="1" s="10">
      <c r="A67" s="141" t="inlineStr">
        <is>
          <t>M1</t>
        </is>
      </c>
      <c r="B67" s="141" t="inlineStr">
        <is>
          <t>B-245-TR101</t>
        </is>
      </c>
      <c r="C67" s="141" t="inlineStr">
        <is>
          <t>正常</t>
        </is>
      </c>
      <c r="D67" s="141" t="inlineStr">
        <is>
          <t>63.8</t>
        </is>
      </c>
      <c r="E67" s="141" t="inlineStr">
        <is>
          <t>984.0</t>
        </is>
      </c>
      <c r="F67" s="141">
        <f>E67/2500</f>
        <v/>
      </c>
      <c r="G67" s="92" t="n"/>
      <c r="H67" s="142" t="inlineStr">
        <is>
          <t>自投自复</t>
        </is>
      </c>
      <c r="I67" s="142" t="inlineStr">
        <is>
          <t>B-245-UPS-101</t>
        </is>
      </c>
      <c r="J67" s="141" t="inlineStr">
        <is>
          <t>32.6</t>
        </is>
      </c>
      <c r="K67" s="141">
        <f>J67/300</f>
        <v/>
      </c>
      <c r="L67" s="141" t="inlineStr">
        <is>
          <t>正常</t>
        </is>
      </c>
      <c r="M67" s="141" t="inlineStr">
        <is>
          <t>272.9</t>
        </is>
      </c>
      <c r="N67" s="141" t="inlineStr">
        <is>
          <t>221.7</t>
        </is>
      </c>
      <c r="O67" s="143" t="inlineStr">
        <is>
          <t>B-245-HVDC-111</t>
        </is>
      </c>
      <c r="P67" s="141" t="inlineStr">
        <is>
          <t>270.9</t>
        </is>
      </c>
      <c r="Q67" s="141" t="inlineStr">
        <is>
          <t>270.7</t>
        </is>
      </c>
      <c r="R67" s="144" t="inlineStr">
        <is>
          <t>93.9</t>
        </is>
      </c>
      <c r="S67" s="145" t="inlineStr">
        <is>
          <t>B-202-RPP-DC-1</t>
        </is>
      </c>
      <c r="T67" s="72" t="n"/>
      <c r="U67" s="141">
        <f>R67*0.935</f>
        <v/>
      </c>
      <c r="V67" s="141">
        <f>U67/215</f>
        <v/>
      </c>
      <c r="W67" s="142" t="n">
        <v>202</v>
      </c>
      <c r="X67" s="141">
        <f>SUM(U67:U76)</f>
        <v/>
      </c>
      <c r="Y67" s="141">
        <f>X67/2150</f>
        <v/>
      </c>
      <c r="Z67" s="141" t="n">
        <v>170</v>
      </c>
      <c r="AA67" s="146" t="n">
        <v>168</v>
      </c>
      <c r="AB67" s="141">
        <f>67/Z67</f>
        <v/>
      </c>
      <c r="AC67" s="141" t="n">
        <v>20</v>
      </c>
      <c r="AD67" s="141" t="n">
        <v>0</v>
      </c>
      <c r="AE67" s="141" t="inlineStr">
        <is>
          <t>南侧</t>
        </is>
      </c>
      <c r="AF67" s="148" t="n"/>
    </row>
    <row r="68" ht="14.15" customFormat="1" customHeight="1" s="10">
      <c r="A68" s="53" t="n"/>
      <c r="B68" s="53" t="n"/>
      <c r="C68" s="53" t="n"/>
      <c r="D68" s="53" t="n"/>
      <c r="E68" s="53" t="n"/>
      <c r="F68" s="46" t="n"/>
      <c r="G68" s="47" t="n"/>
      <c r="H68" s="53" t="n"/>
      <c r="I68" s="53" t="n"/>
      <c r="J68" s="53" t="n"/>
      <c r="K68" s="53" t="n"/>
      <c r="L68" s="53" t="n"/>
      <c r="M68" s="53" t="n"/>
      <c r="N68" s="53" t="n"/>
      <c r="O68" s="143" t="inlineStr">
        <is>
          <t>B-245-HVDC-121</t>
        </is>
      </c>
      <c r="P68" s="141" t="inlineStr">
        <is>
          <t>270.5</t>
        </is>
      </c>
      <c r="Q68" s="141" t="inlineStr">
        <is>
          <t>270.2</t>
        </is>
      </c>
      <c r="R68" s="144" t="inlineStr">
        <is>
          <t>92.6</t>
        </is>
      </c>
      <c r="S68" s="145" t="inlineStr">
        <is>
          <t>B-202-RPP-DC-3</t>
        </is>
      </c>
      <c r="T68" s="72" t="n"/>
      <c r="U68" s="141">
        <f>R68*0.935</f>
        <v/>
      </c>
      <c r="V68" s="141">
        <f>U68/215</f>
        <v/>
      </c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148" t="n"/>
    </row>
    <row r="69" ht="14.15" customFormat="1" customHeight="1" s="10">
      <c r="A69" s="53" t="n"/>
      <c r="B69" s="53" t="n"/>
      <c r="C69" s="53" t="n"/>
      <c r="D69" s="53" t="n"/>
      <c r="E69" s="53" t="n"/>
      <c r="F69" s="46" t="n"/>
      <c r="G69" s="47" t="n"/>
      <c r="H69" s="53" t="n"/>
      <c r="I69" s="53" t="n"/>
      <c r="J69" s="53" t="n"/>
      <c r="K69" s="53" t="n"/>
      <c r="L69" s="53" t="n"/>
      <c r="M69" s="53" t="n"/>
      <c r="N69" s="53" t="n"/>
      <c r="O69" s="143" t="inlineStr">
        <is>
          <t>B-245-HVDC-131</t>
        </is>
      </c>
      <c r="P69" s="141" t="inlineStr">
        <is>
          <t>270.0</t>
        </is>
      </c>
      <c r="Q69" s="141" t="inlineStr">
        <is>
          <t>269.9</t>
        </is>
      </c>
      <c r="R69" s="144" t="inlineStr">
        <is>
          <t>94.1</t>
        </is>
      </c>
      <c r="S69" s="145" t="inlineStr">
        <is>
          <t>B-202-RPP-DC-5</t>
        </is>
      </c>
      <c r="T69" s="72" t="n"/>
      <c r="U69" s="141">
        <f>R69*0.935</f>
        <v/>
      </c>
      <c r="V69" s="141">
        <f>U69/215</f>
        <v/>
      </c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30" t="n"/>
      <c r="AF69" s="148" t="n"/>
    </row>
    <row r="70" ht="14.15" customFormat="1" customHeight="1" s="10">
      <c r="A70" s="53" t="n"/>
      <c r="B70" s="53" t="n"/>
      <c r="C70" s="53" t="n"/>
      <c r="D70" s="53" t="n"/>
      <c r="E70" s="53" t="n"/>
      <c r="F70" s="46" t="n"/>
      <c r="G70" s="47" t="n"/>
      <c r="H70" s="53" t="n"/>
      <c r="I70" s="53" t="n"/>
      <c r="J70" s="53" t="n"/>
      <c r="K70" s="53" t="n"/>
      <c r="L70" s="53" t="n"/>
      <c r="M70" s="53" t="n"/>
      <c r="N70" s="53" t="n"/>
      <c r="O70" s="143" t="inlineStr">
        <is>
          <t>B-245-HVDC-141</t>
        </is>
      </c>
      <c r="P70" s="141" t="inlineStr">
        <is>
          <t>269.8</t>
        </is>
      </c>
      <c r="Q70" s="141" t="inlineStr">
        <is>
          <t>270.5</t>
        </is>
      </c>
      <c r="R70" s="144" t="inlineStr">
        <is>
          <t>96.6</t>
        </is>
      </c>
      <c r="S70" s="145" t="inlineStr">
        <is>
          <t>B-202-RPP-DC-7</t>
        </is>
      </c>
      <c r="T70" s="72" t="n"/>
      <c r="U70" s="141">
        <f>R70*0.935</f>
        <v/>
      </c>
      <c r="V70" s="141">
        <f>U70/215</f>
        <v/>
      </c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141" t="inlineStr">
        <is>
          <t>12.45</t>
        </is>
      </c>
      <c r="AF70" s="148" t="n"/>
    </row>
    <row r="71" ht="14.15" customFormat="1" customHeight="1" s="10">
      <c r="A71" s="53" t="n"/>
      <c r="B71" s="30" t="n"/>
      <c r="C71" s="30" t="n"/>
      <c r="D71" s="30" t="n"/>
      <c r="E71" s="30" t="n"/>
      <c r="F71" s="93" t="n"/>
      <c r="G71" s="95" t="n"/>
      <c r="H71" s="30" t="n"/>
      <c r="I71" s="53" t="n"/>
      <c r="J71" s="53" t="n"/>
      <c r="K71" s="53" t="n"/>
      <c r="L71" s="53" t="n"/>
      <c r="M71" s="53" t="n"/>
      <c r="N71" s="53" t="n"/>
      <c r="O71" s="143" t="inlineStr">
        <is>
          <t>B-245-HVDC-151</t>
        </is>
      </c>
      <c r="P71" s="141" t="inlineStr">
        <is>
          <t>270.7</t>
        </is>
      </c>
      <c r="Q71" s="141" t="inlineStr">
        <is>
          <t>270.5</t>
        </is>
      </c>
      <c r="R71" s="144" t="inlineStr">
        <is>
          <t>102.0</t>
        </is>
      </c>
      <c r="S71" s="145" t="inlineStr">
        <is>
          <t>B-202-RPP-DC-9</t>
        </is>
      </c>
      <c r="T71" s="72" t="n"/>
      <c r="U71" s="141">
        <f>R71*0.935</f>
        <v/>
      </c>
      <c r="V71" s="141">
        <f>U71/215</f>
        <v/>
      </c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30" t="n"/>
      <c r="AF71" s="148" t="n"/>
    </row>
    <row r="72" ht="14.15" customFormat="1" customHeight="1" s="10">
      <c r="A72" s="53" t="n"/>
      <c r="B72" s="141" t="inlineStr">
        <is>
          <t>B-245-TR102</t>
        </is>
      </c>
      <c r="C72" s="141" t="inlineStr">
        <is>
          <t>正常</t>
        </is>
      </c>
      <c r="D72" s="141" t="inlineStr">
        <is>
          <t>63.1</t>
        </is>
      </c>
      <c r="E72" s="141" t="inlineStr">
        <is>
          <t>950.0</t>
        </is>
      </c>
      <c r="F72" s="141">
        <f>E72/2500</f>
        <v/>
      </c>
      <c r="G72" s="92" t="n"/>
      <c r="H72" s="142" t="inlineStr">
        <is>
          <t>自投自复</t>
        </is>
      </c>
      <c r="I72" s="53" t="n"/>
      <c r="J72" s="53" t="n"/>
      <c r="K72" s="53" t="n"/>
      <c r="L72" s="53" t="n"/>
      <c r="M72" s="53" t="n"/>
      <c r="N72" s="53" t="n"/>
      <c r="O72" s="143" t="inlineStr">
        <is>
          <t>B-245-HVDC-211</t>
        </is>
      </c>
      <c r="P72" s="141" t="inlineStr">
        <is>
          <t>270.5</t>
        </is>
      </c>
      <c r="Q72" s="141" t="inlineStr">
        <is>
          <t>270.4</t>
        </is>
      </c>
      <c r="R72" s="144" t="inlineStr">
        <is>
          <t>94.9</t>
        </is>
      </c>
      <c r="S72" s="145" t="inlineStr">
        <is>
          <t>B-202-RPP-DC-2</t>
        </is>
      </c>
      <c r="T72" s="72" t="n"/>
      <c r="U72" s="141">
        <f>R72*0.935</f>
        <v/>
      </c>
      <c r="V72" s="141">
        <f>U72/215</f>
        <v/>
      </c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141" t="inlineStr">
        <is>
          <t>北侧</t>
        </is>
      </c>
      <c r="AF72" s="148" t="n"/>
    </row>
    <row r="73" ht="14.15" customFormat="1" customHeight="1" s="10">
      <c r="A73" s="53" t="n"/>
      <c r="B73" s="53" t="n"/>
      <c r="C73" s="53" t="n"/>
      <c r="D73" s="53" t="n"/>
      <c r="E73" s="53" t="n"/>
      <c r="F73" s="46" t="n"/>
      <c r="G73" s="47" t="n"/>
      <c r="H73" s="53" t="n"/>
      <c r="I73" s="53" t="n"/>
      <c r="J73" s="53" t="n"/>
      <c r="K73" s="53" t="n"/>
      <c r="L73" s="53" t="n"/>
      <c r="M73" s="53" t="n"/>
      <c r="N73" s="53" t="n"/>
      <c r="O73" s="143" t="inlineStr">
        <is>
          <t>B-245-HVDC-221</t>
        </is>
      </c>
      <c r="P73" s="141" t="inlineStr">
        <is>
          <t>271.0</t>
        </is>
      </c>
      <c r="Q73" s="141" t="inlineStr">
        <is>
          <t>271.4</t>
        </is>
      </c>
      <c r="R73" s="144" t="inlineStr">
        <is>
          <t>96.6</t>
        </is>
      </c>
      <c r="S73" s="145" t="inlineStr">
        <is>
          <t>B-202-RPP-DC-4</t>
        </is>
      </c>
      <c r="T73" s="72" t="n"/>
      <c r="U73" s="141">
        <f>R73*0.935</f>
        <v/>
      </c>
      <c r="V73" s="141">
        <f>U73/215</f>
        <v/>
      </c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148" t="n"/>
    </row>
    <row r="74" ht="14.15" customFormat="1" customHeight="1" s="10">
      <c r="A74" s="53" t="n"/>
      <c r="B74" s="53" t="n"/>
      <c r="C74" s="53" t="n"/>
      <c r="D74" s="53" t="n"/>
      <c r="E74" s="53" t="n"/>
      <c r="F74" s="46" t="n"/>
      <c r="G74" s="47" t="n"/>
      <c r="H74" s="53" t="n"/>
      <c r="I74" s="53" t="n"/>
      <c r="J74" s="53" t="n"/>
      <c r="K74" s="53" t="n"/>
      <c r="L74" s="53" t="n"/>
      <c r="M74" s="53" t="n"/>
      <c r="N74" s="53" t="n"/>
      <c r="O74" s="143" t="inlineStr">
        <is>
          <t>B-245-HVDC-231</t>
        </is>
      </c>
      <c r="P74" s="141" t="inlineStr">
        <is>
          <t>270.7</t>
        </is>
      </c>
      <c r="Q74" s="141" t="inlineStr">
        <is>
          <t>270.5</t>
        </is>
      </c>
      <c r="R74" s="144" t="inlineStr">
        <is>
          <t>105.4</t>
        </is>
      </c>
      <c r="S74" s="145" t="inlineStr">
        <is>
          <t>B-202-RPP-DC-6</t>
        </is>
      </c>
      <c r="T74" s="72" t="n"/>
      <c r="U74" s="141">
        <f>R74*0.935</f>
        <v/>
      </c>
      <c r="V74" s="141">
        <f>U74/215</f>
        <v/>
      </c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30" t="n"/>
      <c r="AF74" s="148" t="n"/>
    </row>
    <row r="75" ht="14.15" customFormat="1" customHeight="1" s="10">
      <c r="A75" s="53" t="n"/>
      <c r="B75" s="53" t="n"/>
      <c r="C75" s="53" t="n"/>
      <c r="D75" s="53" t="n"/>
      <c r="E75" s="53" t="n"/>
      <c r="F75" s="46" t="n"/>
      <c r="G75" s="47" t="n"/>
      <c r="H75" s="53" t="n"/>
      <c r="I75" s="53" t="n"/>
      <c r="J75" s="53" t="n"/>
      <c r="K75" s="53" t="n"/>
      <c r="L75" s="53" t="n"/>
      <c r="M75" s="53" t="n"/>
      <c r="N75" s="53" t="n"/>
      <c r="O75" s="143" t="inlineStr">
        <is>
          <t>B-245-HVDC-241</t>
        </is>
      </c>
      <c r="P75" s="141" t="inlineStr">
        <is>
          <t>270.4</t>
        </is>
      </c>
      <c r="Q75" s="141" t="inlineStr">
        <is>
          <t>270.5</t>
        </is>
      </c>
      <c r="R75" s="144" t="inlineStr">
        <is>
          <t>104.6</t>
        </is>
      </c>
      <c r="S75" s="145" t="inlineStr">
        <is>
          <t>B-202-RPP-DC-8</t>
        </is>
      </c>
      <c r="T75" s="72" t="n"/>
      <c r="U75" s="141">
        <f>R75*0.935</f>
        <v/>
      </c>
      <c r="V75" s="141">
        <f>U75/215</f>
        <v/>
      </c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141" t="inlineStr">
        <is>
          <t>13.73</t>
        </is>
      </c>
      <c r="AF75" s="148" t="n"/>
    </row>
    <row r="76" ht="14.15" customFormat="1" customHeight="1" s="10">
      <c r="A76" s="30" t="n"/>
      <c r="B76" s="30" t="n"/>
      <c r="C76" s="30" t="n"/>
      <c r="D76" s="30" t="n"/>
      <c r="E76" s="30" t="n"/>
      <c r="F76" s="93" t="n"/>
      <c r="G76" s="95" t="n"/>
      <c r="H76" s="30" t="n"/>
      <c r="I76" s="30" t="n"/>
      <c r="J76" s="30" t="n"/>
      <c r="K76" s="30" t="n"/>
      <c r="L76" s="30" t="n"/>
      <c r="M76" s="30" t="n"/>
      <c r="N76" s="30" t="n"/>
      <c r="O76" s="143" t="inlineStr">
        <is>
          <t>B-245-HVDC-251</t>
        </is>
      </c>
      <c r="P76" s="141" t="inlineStr">
        <is>
          <t>269.5</t>
        </is>
      </c>
      <c r="Q76" s="141" t="inlineStr">
        <is>
          <t>270.5</t>
        </is>
      </c>
      <c r="R76" s="144" t="inlineStr">
        <is>
          <t>102.6</t>
        </is>
      </c>
      <c r="S76" s="145" t="inlineStr">
        <is>
          <t>B-202-RPP-DC-10</t>
        </is>
      </c>
      <c r="T76" s="72" t="n"/>
      <c r="U76" s="141">
        <f>R76*0.935</f>
        <v/>
      </c>
      <c r="V76" s="141">
        <f>U76/215</f>
        <v/>
      </c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148" t="n"/>
    </row>
    <row r="77" ht="14.15" customFormat="1" customHeight="1" s="10">
      <c r="A77" s="141" t="inlineStr">
        <is>
          <t>M2</t>
        </is>
      </c>
      <c r="B77" s="141" t="inlineStr">
        <is>
          <t>B-218-TR201</t>
        </is>
      </c>
      <c r="C77" s="141" t="inlineStr">
        <is>
          <t>正常</t>
        </is>
      </c>
      <c r="D77" s="141" t="inlineStr">
        <is>
          <t>64.9</t>
        </is>
      </c>
      <c r="E77" s="141" t="inlineStr">
        <is>
          <t>998.0</t>
        </is>
      </c>
      <c r="F77" s="141">
        <f>E77/2500</f>
        <v/>
      </c>
      <c r="G77" s="92" t="n"/>
      <c r="H77" s="142" t="inlineStr">
        <is>
          <t>自投自复</t>
        </is>
      </c>
      <c r="I77" s="151" t="inlineStr">
        <is>
          <t>B-218-UPS-101</t>
        </is>
      </c>
      <c r="J77" s="141" t="inlineStr">
        <is>
          <t>28.9</t>
        </is>
      </c>
      <c r="K77" s="141">
        <f>J77/300</f>
        <v/>
      </c>
      <c r="L77" s="141" t="inlineStr">
        <is>
          <t>正常</t>
        </is>
      </c>
      <c r="M77" s="141" t="inlineStr">
        <is>
          <t>273.6</t>
        </is>
      </c>
      <c r="N77" s="141" t="inlineStr">
        <is>
          <t>221.5</t>
        </is>
      </c>
      <c r="O77" s="143" t="inlineStr">
        <is>
          <t>B-218-HVDC-111</t>
        </is>
      </c>
      <c r="P77" s="141" t="inlineStr">
        <is>
          <t>270.7</t>
        </is>
      </c>
      <c r="Q77" s="141" t="inlineStr">
        <is>
          <t>270.5</t>
        </is>
      </c>
      <c r="R77" s="144" t="inlineStr">
        <is>
          <t>100.2</t>
        </is>
      </c>
      <c r="S77" s="145" t="inlineStr">
        <is>
          <t>B-201-RPP-DC-1</t>
        </is>
      </c>
      <c r="T77" s="72" t="n"/>
      <c r="U77" s="141">
        <f>R77*0.935</f>
        <v/>
      </c>
      <c r="V77" s="141">
        <f>U77/215</f>
        <v/>
      </c>
      <c r="W77" s="142" t="n">
        <v>201</v>
      </c>
      <c r="X77" s="141">
        <f>SUM(U77:U86)</f>
        <v/>
      </c>
      <c r="Y77" s="141">
        <f>X77/2150</f>
        <v/>
      </c>
      <c r="Z77" s="141" t="n">
        <v>170</v>
      </c>
      <c r="AA77" s="146" t="n">
        <v>170</v>
      </c>
      <c r="AB77" s="141">
        <f>77/Z77</f>
        <v/>
      </c>
      <c r="AC77" s="141" t="n">
        <v>20</v>
      </c>
      <c r="AD77" s="141" t="n">
        <v>0</v>
      </c>
      <c r="AE77" s="141" t="inlineStr">
        <is>
          <t>南侧</t>
        </is>
      </c>
      <c r="AF77" s="148" t="n"/>
    </row>
    <row r="78" ht="14.15" customFormat="1" customHeight="1" s="10">
      <c r="A78" s="53" t="n"/>
      <c r="B78" s="53" t="n"/>
      <c r="C78" s="53" t="n"/>
      <c r="D78" s="53" t="n"/>
      <c r="E78" s="53" t="n"/>
      <c r="F78" s="46" t="n"/>
      <c r="G78" s="47" t="n"/>
      <c r="H78" s="53" t="n"/>
      <c r="I78" s="53" t="n"/>
      <c r="J78" s="53" t="n"/>
      <c r="K78" s="53" t="n"/>
      <c r="L78" s="53" t="n"/>
      <c r="M78" s="53" t="n"/>
      <c r="N78" s="53" t="n"/>
      <c r="O78" s="143" t="inlineStr">
        <is>
          <t>B-218-HVDC-121</t>
        </is>
      </c>
      <c r="P78" s="141" t="inlineStr">
        <is>
          <t>270.6</t>
        </is>
      </c>
      <c r="Q78" s="141" t="inlineStr">
        <is>
          <t>270.4</t>
        </is>
      </c>
      <c r="R78" s="144" t="inlineStr">
        <is>
          <t>102.3</t>
        </is>
      </c>
      <c r="S78" s="145" t="inlineStr">
        <is>
          <t>B-201-RPP-DC-3</t>
        </is>
      </c>
      <c r="T78" s="72" t="n"/>
      <c r="U78" s="141">
        <f>R78*0.935</f>
        <v/>
      </c>
      <c r="V78" s="141">
        <f>U78/215</f>
        <v/>
      </c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148" t="n"/>
    </row>
    <row r="79" ht="14.15" customFormat="1" customHeight="1" s="10">
      <c r="A79" s="53" t="n"/>
      <c r="B79" s="53" t="n"/>
      <c r="C79" s="53" t="n"/>
      <c r="D79" s="53" t="n"/>
      <c r="E79" s="53" t="n"/>
      <c r="F79" s="46" t="n"/>
      <c r="G79" s="47" t="n"/>
      <c r="H79" s="53" t="n"/>
      <c r="I79" s="53" t="n"/>
      <c r="J79" s="53" t="n"/>
      <c r="K79" s="53" t="n"/>
      <c r="L79" s="53" t="n"/>
      <c r="M79" s="53" t="n"/>
      <c r="N79" s="53" t="n"/>
      <c r="O79" s="143" t="inlineStr">
        <is>
          <t>B-218-HVDC-131</t>
        </is>
      </c>
      <c r="P79" s="141" t="inlineStr">
        <is>
          <t>270.0</t>
        </is>
      </c>
      <c r="Q79" s="141" t="inlineStr">
        <is>
          <t>270.1</t>
        </is>
      </c>
      <c r="R79" s="144" t="inlineStr">
        <is>
          <t>95.7</t>
        </is>
      </c>
      <c r="S79" s="145" t="inlineStr">
        <is>
          <t>B-201-RPP-DC-5</t>
        </is>
      </c>
      <c r="T79" s="72" t="n"/>
      <c r="U79" s="141">
        <f>R79*0.935</f>
        <v/>
      </c>
      <c r="V79" s="141">
        <f>U79/215</f>
        <v/>
      </c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30" t="n"/>
      <c r="AF79" s="148" t="n"/>
    </row>
    <row r="80" ht="14.15" customFormat="1" customHeight="1" s="10">
      <c r="A80" s="53" t="n"/>
      <c r="B80" s="53" t="n"/>
      <c r="C80" s="53" t="n"/>
      <c r="D80" s="53" t="n"/>
      <c r="E80" s="53" t="n"/>
      <c r="F80" s="46" t="n"/>
      <c r="G80" s="47" t="n"/>
      <c r="H80" s="53" t="n"/>
      <c r="I80" s="53" t="n"/>
      <c r="J80" s="53" t="n"/>
      <c r="K80" s="53" t="n"/>
      <c r="L80" s="53" t="n"/>
      <c r="M80" s="53" t="n"/>
      <c r="N80" s="53" t="n"/>
      <c r="O80" s="143" t="inlineStr">
        <is>
          <t>B-218-HVDC-141</t>
        </is>
      </c>
      <c r="P80" s="141" t="inlineStr">
        <is>
          <t>270.3</t>
        </is>
      </c>
      <c r="Q80" s="141" t="inlineStr">
        <is>
          <t>270.4</t>
        </is>
      </c>
      <c r="R80" s="144" t="inlineStr">
        <is>
          <t>103.4</t>
        </is>
      </c>
      <c r="S80" s="145" t="inlineStr">
        <is>
          <t>B-201-RPP-DC-7</t>
        </is>
      </c>
      <c r="T80" s="72" t="n"/>
      <c r="U80" s="141">
        <f>R80*0.935</f>
        <v/>
      </c>
      <c r="V80" s="141">
        <f>U80/215</f>
        <v/>
      </c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141" t="inlineStr">
        <is>
          <t>11.16</t>
        </is>
      </c>
      <c r="AF80" s="148" t="n"/>
    </row>
    <row r="81" ht="14.15" customFormat="1" customHeight="1" s="10">
      <c r="A81" s="53" t="n"/>
      <c r="B81" s="30" t="n"/>
      <c r="C81" s="30" t="n"/>
      <c r="D81" s="30" t="n"/>
      <c r="E81" s="30" t="n"/>
      <c r="F81" s="93" t="n"/>
      <c r="G81" s="95" t="n"/>
      <c r="H81" s="30" t="n"/>
      <c r="I81" s="53" t="n"/>
      <c r="J81" s="53" t="n"/>
      <c r="K81" s="53" t="n"/>
      <c r="L81" s="53" t="n"/>
      <c r="M81" s="53" t="n"/>
      <c r="N81" s="53" t="n"/>
      <c r="O81" s="143" t="inlineStr">
        <is>
          <t>B-218-HVDC-151</t>
        </is>
      </c>
      <c r="P81" s="141" t="inlineStr">
        <is>
          <t>270.4</t>
        </is>
      </c>
      <c r="Q81" s="141" t="inlineStr">
        <is>
          <t>271.5</t>
        </is>
      </c>
      <c r="R81" s="144" t="inlineStr">
        <is>
          <t>99.9</t>
        </is>
      </c>
      <c r="S81" s="145" t="inlineStr">
        <is>
          <t>B-201-RPP-DC-9</t>
        </is>
      </c>
      <c r="T81" s="72" t="n"/>
      <c r="U81" s="141">
        <f>R81*0.935</f>
        <v/>
      </c>
      <c r="V81" s="141">
        <f>U81/215</f>
        <v/>
      </c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30" t="n"/>
      <c r="AF81" s="148" t="n"/>
    </row>
    <row r="82" ht="14.15" customFormat="1" customHeight="1" s="10">
      <c r="A82" s="53" t="n"/>
      <c r="B82" s="141" t="inlineStr">
        <is>
          <t>B-218-TR202</t>
        </is>
      </c>
      <c r="C82" s="141" t="inlineStr">
        <is>
          <t>正常</t>
        </is>
      </c>
      <c r="D82" s="141" t="inlineStr">
        <is>
          <t>61.4</t>
        </is>
      </c>
      <c r="E82" s="141" t="inlineStr">
        <is>
          <t>961.0</t>
        </is>
      </c>
      <c r="F82" s="141">
        <f>E82/2500</f>
        <v/>
      </c>
      <c r="G82" s="92" t="n"/>
      <c r="H82" s="142" t="inlineStr">
        <is>
          <t>自投自复</t>
        </is>
      </c>
      <c r="I82" s="53" t="n"/>
      <c r="J82" s="53" t="n"/>
      <c r="K82" s="53" t="n"/>
      <c r="L82" s="53" t="n"/>
      <c r="M82" s="53" t="n"/>
      <c r="N82" s="53" t="n"/>
      <c r="O82" s="143" t="inlineStr">
        <is>
          <t>B-218-HVDC-211</t>
        </is>
      </c>
      <c r="P82" s="141" t="inlineStr">
        <is>
          <t>271.6</t>
        </is>
      </c>
      <c r="Q82" s="141" t="inlineStr">
        <is>
          <t>271.0</t>
        </is>
      </c>
      <c r="R82" s="144" t="inlineStr">
        <is>
          <t>94.1</t>
        </is>
      </c>
      <c r="S82" s="145" t="inlineStr">
        <is>
          <t>B-201-RPP-DC-2</t>
        </is>
      </c>
      <c r="T82" s="72" t="n"/>
      <c r="U82" s="141">
        <f>R82*0.935</f>
        <v/>
      </c>
      <c r="V82" s="141">
        <f>U82/215</f>
        <v/>
      </c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141" t="inlineStr">
        <is>
          <t>北侧</t>
        </is>
      </c>
      <c r="AF82" s="148" t="n"/>
    </row>
    <row r="83" ht="14.15" customFormat="1" customHeight="1" s="10">
      <c r="A83" s="53" t="n"/>
      <c r="B83" s="53" t="n"/>
      <c r="C83" s="53" t="n"/>
      <c r="D83" s="53" t="n"/>
      <c r="E83" s="53" t="n"/>
      <c r="F83" s="46" t="n"/>
      <c r="G83" s="47" t="n"/>
      <c r="H83" s="53" t="n"/>
      <c r="I83" s="53" t="n"/>
      <c r="J83" s="53" t="n"/>
      <c r="K83" s="53" t="n"/>
      <c r="L83" s="53" t="n"/>
      <c r="M83" s="53" t="n"/>
      <c r="N83" s="53" t="n"/>
      <c r="O83" s="143" t="inlineStr">
        <is>
          <t>B-218-HVDC-221</t>
        </is>
      </c>
      <c r="P83" s="141" t="inlineStr">
        <is>
          <t>270.3</t>
        </is>
      </c>
      <c r="Q83" s="141" t="inlineStr">
        <is>
          <t>270.7</t>
        </is>
      </c>
      <c r="R83" s="144" t="inlineStr">
        <is>
          <t>99.6</t>
        </is>
      </c>
      <c r="S83" s="145" t="inlineStr">
        <is>
          <t>B-201-RPP-DC-4</t>
        </is>
      </c>
      <c r="T83" s="72" t="n"/>
      <c r="U83" s="141">
        <f>R83*0.935</f>
        <v/>
      </c>
      <c r="V83" s="141">
        <f>U83/215</f>
        <v/>
      </c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148" t="n"/>
    </row>
    <row r="84" ht="14.15" customFormat="1" customHeight="1" s="10">
      <c r="A84" s="53" t="n"/>
      <c r="B84" s="53" t="n"/>
      <c r="C84" s="53" t="n"/>
      <c r="D84" s="53" t="n"/>
      <c r="E84" s="53" t="n"/>
      <c r="F84" s="46" t="n"/>
      <c r="G84" s="47" t="n"/>
      <c r="H84" s="53" t="n"/>
      <c r="I84" s="53" t="n"/>
      <c r="J84" s="53" t="n"/>
      <c r="K84" s="53" t="n"/>
      <c r="L84" s="53" t="n"/>
      <c r="M84" s="53" t="n"/>
      <c r="N84" s="53" t="n"/>
      <c r="O84" s="143" t="inlineStr">
        <is>
          <t>B-218-HVDC-231</t>
        </is>
      </c>
      <c r="P84" s="141" t="inlineStr">
        <is>
          <t>270.7</t>
        </is>
      </c>
      <c r="Q84" s="141" t="inlineStr">
        <is>
          <t>270.5</t>
        </is>
      </c>
      <c r="R84" s="144" t="inlineStr">
        <is>
          <t>99.0</t>
        </is>
      </c>
      <c r="S84" s="145" t="inlineStr">
        <is>
          <t>B-201-RPP-DC-6</t>
        </is>
      </c>
      <c r="T84" s="72" t="n"/>
      <c r="U84" s="141">
        <f>R84*0.935</f>
        <v/>
      </c>
      <c r="V84" s="141">
        <f>U84/215</f>
        <v/>
      </c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30" t="n"/>
      <c r="AF84" s="148" t="n"/>
    </row>
    <row r="85" ht="14.15" customFormat="1" customHeight="1" s="10">
      <c r="A85" s="53" t="n"/>
      <c r="B85" s="53" t="n"/>
      <c r="C85" s="53" t="n"/>
      <c r="D85" s="53" t="n"/>
      <c r="E85" s="53" t="n"/>
      <c r="F85" s="46" t="n"/>
      <c r="G85" s="47" t="n"/>
      <c r="H85" s="53" t="n"/>
      <c r="I85" s="53" t="n"/>
      <c r="J85" s="53" t="n"/>
      <c r="K85" s="53" t="n"/>
      <c r="L85" s="53" t="n"/>
      <c r="M85" s="53" t="n"/>
      <c r="N85" s="53" t="n"/>
      <c r="O85" s="143" t="inlineStr">
        <is>
          <t>B-218-HVDC-241</t>
        </is>
      </c>
      <c r="P85" s="141" t="inlineStr">
        <is>
          <t>271.8</t>
        </is>
      </c>
      <c r="Q85" s="141" t="inlineStr">
        <is>
          <t>270.4</t>
        </is>
      </c>
      <c r="R85" s="144" t="inlineStr">
        <is>
          <t>96.7</t>
        </is>
      </c>
      <c r="S85" s="145" t="inlineStr">
        <is>
          <t>B-201-RPP-DC-8</t>
        </is>
      </c>
      <c r="T85" s="72" t="n"/>
      <c r="U85" s="141">
        <f>R85*0.935</f>
        <v/>
      </c>
      <c r="V85" s="141">
        <f>U85/215</f>
        <v/>
      </c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141" t="inlineStr">
        <is>
          <t>14.97</t>
        </is>
      </c>
      <c r="AF85" s="148" t="n"/>
    </row>
    <row r="86" ht="14.15" customFormat="1" customHeight="1" s="10">
      <c r="A86" s="30" t="n"/>
      <c r="B86" s="30" t="n"/>
      <c r="C86" s="30" t="n"/>
      <c r="D86" s="30" t="n"/>
      <c r="E86" s="30" t="n"/>
      <c r="F86" s="93" t="n"/>
      <c r="G86" s="95" t="n"/>
      <c r="H86" s="30" t="n"/>
      <c r="I86" s="30" t="n"/>
      <c r="J86" s="30" t="n"/>
      <c r="K86" s="30" t="n"/>
      <c r="L86" s="30" t="n"/>
      <c r="M86" s="30" t="n"/>
      <c r="N86" s="30" t="n"/>
      <c r="O86" s="143" t="inlineStr">
        <is>
          <t>B-218-HVDC-251</t>
        </is>
      </c>
      <c r="P86" s="141" t="inlineStr">
        <is>
          <t>270.4</t>
        </is>
      </c>
      <c r="Q86" s="141" t="inlineStr">
        <is>
          <t>270.5</t>
        </is>
      </c>
      <c r="R86" s="144" t="inlineStr">
        <is>
          <t>99.8</t>
        </is>
      </c>
      <c r="S86" s="145" t="inlineStr">
        <is>
          <t>B-201-RPP-DC-10</t>
        </is>
      </c>
      <c r="T86" s="72" t="n"/>
      <c r="U86" s="141">
        <f>R86*0.935</f>
        <v/>
      </c>
      <c r="V86" s="141">
        <f>U86/215</f>
        <v/>
      </c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148" t="n"/>
    </row>
    <row r="87" ht="14.15" customFormat="1" customHeight="1" s="10">
      <c r="A87" s="141" t="inlineStr">
        <is>
          <t>M3</t>
        </is>
      </c>
      <c r="B87" s="141" t="inlineStr">
        <is>
          <t>B-345-TR101</t>
        </is>
      </c>
      <c r="C87" s="141" t="inlineStr">
        <is>
          <t>正常</t>
        </is>
      </c>
      <c r="D87" s="141" t="inlineStr">
        <is>
          <t>57.6</t>
        </is>
      </c>
      <c r="E87" s="141" t="inlineStr">
        <is>
          <t>702.0</t>
        </is>
      </c>
      <c r="F87" s="141">
        <f>E87/2500</f>
        <v/>
      </c>
      <c r="G87" s="92" t="n"/>
      <c r="H87" s="142" t="inlineStr">
        <is>
          <t>自投自复</t>
        </is>
      </c>
      <c r="I87" s="142" t="inlineStr">
        <is>
          <t>B-345-UPS-101</t>
        </is>
      </c>
      <c r="J87" s="141" t="inlineStr">
        <is>
          <t>17.0</t>
        </is>
      </c>
      <c r="K87" s="141">
        <f>J87/300</f>
        <v/>
      </c>
      <c r="L87" s="141" t="inlineStr">
        <is>
          <t>正常</t>
        </is>
      </c>
      <c r="M87" s="141" t="inlineStr">
        <is>
          <t>272.5</t>
        </is>
      </c>
      <c r="N87" s="141" t="inlineStr">
        <is>
          <t>221.4</t>
        </is>
      </c>
      <c r="O87" s="152" t="inlineStr">
        <is>
          <t>B-345-HVDC-111</t>
        </is>
      </c>
      <c r="P87" s="141" t="inlineStr">
        <is>
          <t>271.2</t>
        </is>
      </c>
      <c r="Q87" s="141" t="inlineStr">
        <is>
          <t>270.7</t>
        </is>
      </c>
      <c r="R87" s="144" t="inlineStr">
        <is>
          <t>44.4</t>
        </is>
      </c>
      <c r="S87" s="145" t="inlineStr">
        <is>
          <t>B-302-RPP-DC-1</t>
        </is>
      </c>
      <c r="T87" s="72" t="n"/>
      <c r="U87" s="141">
        <f>R87*0.935</f>
        <v/>
      </c>
      <c r="V87" s="141">
        <f>U87/215</f>
        <v/>
      </c>
      <c r="W87" s="142" t="n">
        <v>302</v>
      </c>
      <c r="X87" s="141">
        <f>SUM(U87:U100)</f>
        <v/>
      </c>
      <c r="Y87" s="141">
        <f>X87/2150</f>
        <v/>
      </c>
      <c r="Z87" s="141" t="n">
        <v>154</v>
      </c>
      <c r="AA87" s="146" t="n">
        <v>140</v>
      </c>
      <c r="AB87" s="141">
        <f>87/Z87</f>
        <v/>
      </c>
      <c r="AC87" s="141" t="n">
        <v>12</v>
      </c>
      <c r="AD87" s="141" t="n">
        <v>8</v>
      </c>
      <c r="AE87" s="141" t="inlineStr">
        <is>
          <t>南侧</t>
        </is>
      </c>
      <c r="AF87" s="148" t="n"/>
    </row>
    <row r="88" ht="14.15" customFormat="1" customHeight="1" s="10">
      <c r="A88" s="53" t="n"/>
      <c r="B88" s="53" t="n"/>
      <c r="C88" s="53" t="n"/>
      <c r="D88" s="53" t="n"/>
      <c r="E88" s="53" t="n"/>
      <c r="F88" s="46" t="n"/>
      <c r="G88" s="47" t="n"/>
      <c r="H88" s="53" t="n"/>
      <c r="I88" s="53" t="n"/>
      <c r="J88" s="53" t="n"/>
      <c r="K88" s="53" t="n"/>
      <c r="L88" s="53" t="n"/>
      <c r="M88" s="53" t="n"/>
      <c r="N88" s="53" t="n"/>
      <c r="O88" s="152" t="inlineStr">
        <is>
          <t>B-345-HVDC-121</t>
        </is>
      </c>
      <c r="P88" s="141" t="inlineStr">
        <is>
          <t>271.0</t>
        </is>
      </c>
      <c r="Q88" s="141" t="inlineStr">
        <is>
          <t>271.0</t>
        </is>
      </c>
      <c r="R88" s="144" t="inlineStr">
        <is>
          <t>48.8</t>
        </is>
      </c>
      <c r="S88" s="145" t="inlineStr">
        <is>
          <t>B-302-RPP-DC-3</t>
        </is>
      </c>
      <c r="T88" s="72" t="n"/>
      <c r="U88" s="141">
        <f>R88*0.935</f>
        <v/>
      </c>
      <c r="V88" s="141">
        <f>U88/215</f>
        <v/>
      </c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148" t="n"/>
    </row>
    <row r="89" ht="14.15" customFormat="1" customHeight="1" s="10">
      <c r="A89" s="53" t="n"/>
      <c r="B89" s="53" t="n"/>
      <c r="C89" s="53" t="n"/>
      <c r="D89" s="53" t="n"/>
      <c r="E89" s="53" t="n"/>
      <c r="F89" s="46" t="n"/>
      <c r="G89" s="47" t="n"/>
      <c r="H89" s="53" t="n"/>
      <c r="I89" s="53" t="n"/>
      <c r="J89" s="53" t="n"/>
      <c r="K89" s="53" t="n"/>
      <c r="L89" s="53" t="n"/>
      <c r="M89" s="53" t="n"/>
      <c r="N89" s="53" t="n"/>
      <c r="O89" s="152" t="inlineStr">
        <is>
          <t>B-345-HVDC-131</t>
        </is>
      </c>
      <c r="P89" s="141" t="inlineStr">
        <is>
          <t>270.6</t>
        </is>
      </c>
      <c r="Q89" s="141" t="inlineStr">
        <is>
          <t>270.3</t>
        </is>
      </c>
      <c r="R89" s="144" t="inlineStr">
        <is>
          <t>67.4</t>
        </is>
      </c>
      <c r="S89" s="145" t="inlineStr">
        <is>
          <t>B-302-RPP-DC-5</t>
        </is>
      </c>
      <c r="T89" s="72" t="n"/>
      <c r="U89" s="141">
        <f>R89*0.935</f>
        <v/>
      </c>
      <c r="V89" s="141">
        <f>U89/215</f>
        <v/>
      </c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148" t="n"/>
    </row>
    <row r="90" ht="14.15" customFormat="1" customHeight="1" s="10">
      <c r="A90" s="53" t="n"/>
      <c r="B90" s="53" t="n"/>
      <c r="C90" s="53" t="n"/>
      <c r="D90" s="53" t="n"/>
      <c r="E90" s="53" t="n"/>
      <c r="F90" s="46" t="n"/>
      <c r="G90" s="47" t="n"/>
      <c r="H90" s="53" t="n"/>
      <c r="I90" s="53" t="n"/>
      <c r="J90" s="53" t="n"/>
      <c r="K90" s="53" t="n"/>
      <c r="L90" s="53" t="n"/>
      <c r="M90" s="53" t="n"/>
      <c r="N90" s="53" t="n"/>
      <c r="O90" s="152" t="inlineStr">
        <is>
          <t>B-345-HVDC-141</t>
        </is>
      </c>
      <c r="P90" s="141" t="inlineStr">
        <is>
          <t>270.9</t>
        </is>
      </c>
      <c r="Q90" s="141" t="inlineStr">
        <is>
          <t>270.4</t>
        </is>
      </c>
      <c r="R90" s="144" t="inlineStr">
        <is>
          <t>49.4</t>
        </is>
      </c>
      <c r="S90" s="145" t="inlineStr">
        <is>
          <t>B-302-RPP-DC-7</t>
        </is>
      </c>
      <c r="T90" s="72" t="n"/>
      <c r="U90" s="141">
        <f>R90*0.935</f>
        <v/>
      </c>
      <c r="V90" s="141">
        <f>U90/215</f>
        <v/>
      </c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30" t="n"/>
      <c r="AF90" s="148" t="n"/>
    </row>
    <row r="91" ht="14.15" customFormat="1" customHeight="1" s="10">
      <c r="A91" s="53" t="n"/>
      <c r="B91" s="53" t="n"/>
      <c r="C91" s="53" t="n"/>
      <c r="D91" s="53" t="n"/>
      <c r="E91" s="53" t="n"/>
      <c r="F91" s="46" t="n"/>
      <c r="G91" s="47" t="n"/>
      <c r="H91" s="53" t="n"/>
      <c r="I91" s="53" t="n"/>
      <c r="J91" s="53" t="n"/>
      <c r="K91" s="53" t="n"/>
      <c r="L91" s="53" t="n"/>
      <c r="M91" s="53" t="n"/>
      <c r="N91" s="53" t="n"/>
      <c r="O91" s="152" t="inlineStr">
        <is>
          <t>B-345-HVDC-151</t>
        </is>
      </c>
      <c r="P91" s="141" t="inlineStr">
        <is>
          <t>269.7</t>
        </is>
      </c>
      <c r="Q91" s="141" t="inlineStr">
        <is>
          <t>270.3</t>
        </is>
      </c>
      <c r="R91" s="144" t="inlineStr">
        <is>
          <t>81.5</t>
        </is>
      </c>
      <c r="S91" s="145" t="inlineStr">
        <is>
          <t>B-302-RPP-DC-9</t>
        </is>
      </c>
      <c r="T91" s="72" t="n"/>
      <c r="U91" s="141">
        <f>R91*0.935</f>
        <v/>
      </c>
      <c r="V91" s="141">
        <f>U91/215</f>
        <v/>
      </c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141" t="inlineStr">
        <is>
          <t>8.57</t>
        </is>
      </c>
      <c r="AF91" s="148" t="n"/>
    </row>
    <row r="92" ht="14.15" customFormat="1" customHeight="1" s="10">
      <c r="A92" s="53" t="n"/>
      <c r="B92" s="53" t="n"/>
      <c r="C92" s="53" t="n"/>
      <c r="D92" s="53" t="n"/>
      <c r="E92" s="53" t="n"/>
      <c r="F92" s="46" t="n"/>
      <c r="G92" s="47" t="n"/>
      <c r="H92" s="53" t="n"/>
      <c r="I92" s="53" t="n"/>
      <c r="J92" s="53" t="n"/>
      <c r="K92" s="53" t="n"/>
      <c r="L92" s="53" t="n"/>
      <c r="M92" s="53" t="n"/>
      <c r="N92" s="53" t="n"/>
      <c r="O92" s="152" t="inlineStr">
        <is>
          <t>B-345-HVDC-161</t>
        </is>
      </c>
      <c r="P92" s="141" t="inlineStr">
        <is>
          <t>270.4</t>
        </is>
      </c>
      <c r="Q92" s="141" t="inlineStr">
        <is>
          <t>270.5</t>
        </is>
      </c>
      <c r="R92" s="144" t="inlineStr">
        <is>
          <t>82.1</t>
        </is>
      </c>
      <c r="S92" s="145" t="inlineStr">
        <is>
          <t>B-302-RPP-DC-11</t>
        </is>
      </c>
      <c r="T92" s="72" t="n"/>
      <c r="U92" s="141">
        <f>R92*0.935</f>
        <v/>
      </c>
      <c r="V92" s="141">
        <f>U92/215</f>
        <v/>
      </c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148" t="n"/>
    </row>
    <row r="93" ht="14.15" customFormat="1" customHeight="1" s="10">
      <c r="A93" s="53" t="n"/>
      <c r="B93" s="30" t="n"/>
      <c r="C93" s="30" t="n"/>
      <c r="D93" s="30" t="n"/>
      <c r="E93" s="30" t="n"/>
      <c r="F93" s="93" t="n"/>
      <c r="G93" s="95" t="n"/>
      <c r="H93" s="30" t="n"/>
      <c r="I93" s="53" t="n"/>
      <c r="J93" s="53" t="n"/>
      <c r="K93" s="53" t="n"/>
      <c r="L93" s="53" t="n"/>
      <c r="M93" s="53" t="n"/>
      <c r="N93" s="53" t="n"/>
      <c r="O93" s="152" t="inlineStr">
        <is>
          <t>B-345-HVDC-171</t>
        </is>
      </c>
      <c r="P93" s="141" t="inlineStr">
        <is>
          <t>270.0</t>
        </is>
      </c>
      <c r="Q93" s="141" t="inlineStr">
        <is>
          <t>270.2</t>
        </is>
      </c>
      <c r="R93" s="144" t="inlineStr">
        <is>
          <t>73.8</t>
        </is>
      </c>
      <c r="S93" s="145" t="inlineStr">
        <is>
          <t>B-302-RPP-DC-13</t>
        </is>
      </c>
      <c r="T93" s="72" t="n"/>
      <c r="U93" s="141">
        <f>R93*0.935</f>
        <v/>
      </c>
      <c r="V93" s="141">
        <f>U93/215</f>
        <v/>
      </c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30" t="n"/>
      <c r="AF93" s="148" t="n"/>
    </row>
    <row r="94" ht="14.15" customFormat="1" customHeight="1" s="10">
      <c r="A94" s="53" t="n"/>
      <c r="B94" s="141" t="inlineStr">
        <is>
          <t>B-345-TR102</t>
        </is>
      </c>
      <c r="C94" s="141" t="inlineStr">
        <is>
          <t>正常</t>
        </is>
      </c>
      <c r="D94" s="141" t="inlineStr">
        <is>
          <t>55.1</t>
        </is>
      </c>
      <c r="E94" s="141" t="inlineStr">
        <is>
          <t>676.0</t>
        </is>
      </c>
      <c r="F94" s="141">
        <f>E94/2500</f>
        <v/>
      </c>
      <c r="G94" s="92" t="n"/>
      <c r="H94" s="142" t="inlineStr">
        <is>
          <t>自投自复</t>
        </is>
      </c>
      <c r="I94" s="53" t="n"/>
      <c r="J94" s="53" t="n"/>
      <c r="K94" s="53" t="n"/>
      <c r="L94" s="53" t="n"/>
      <c r="M94" s="53" t="n"/>
      <c r="N94" s="53" t="n"/>
      <c r="O94" s="152" t="inlineStr">
        <is>
          <t>B-345-HVDC-211</t>
        </is>
      </c>
      <c r="P94" s="141" t="inlineStr">
        <is>
          <t>270.7</t>
        </is>
      </c>
      <c r="Q94" s="141" t="inlineStr">
        <is>
          <t>269.8</t>
        </is>
      </c>
      <c r="R94" s="144" t="inlineStr">
        <is>
          <t>42.0</t>
        </is>
      </c>
      <c r="S94" s="145" t="inlineStr">
        <is>
          <t>B-302-RPP-DC-2</t>
        </is>
      </c>
      <c r="T94" s="72" t="n"/>
      <c r="U94" s="141">
        <f>R94*0.935</f>
        <v/>
      </c>
      <c r="V94" s="141">
        <f>U94/215</f>
        <v/>
      </c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141" t="inlineStr">
        <is>
          <t>北侧</t>
        </is>
      </c>
      <c r="AF94" s="148" t="n"/>
    </row>
    <row r="95" ht="14.15" customFormat="1" customHeight="1" s="10">
      <c r="A95" s="53" t="n"/>
      <c r="B95" s="53" t="n"/>
      <c r="C95" s="53" t="n"/>
      <c r="D95" s="53" t="n"/>
      <c r="E95" s="53" t="n"/>
      <c r="F95" s="46" t="n"/>
      <c r="G95" s="47" t="n"/>
      <c r="H95" s="53" t="n"/>
      <c r="I95" s="53" t="n"/>
      <c r="J95" s="53" t="n"/>
      <c r="K95" s="53" t="n"/>
      <c r="L95" s="53" t="n"/>
      <c r="M95" s="53" t="n"/>
      <c r="N95" s="53" t="n"/>
      <c r="O95" s="152" t="inlineStr">
        <is>
          <t>B-345-HVDC-221</t>
        </is>
      </c>
      <c r="P95" s="141" t="inlineStr">
        <is>
          <t>270.8</t>
        </is>
      </c>
      <c r="Q95" s="141" t="inlineStr">
        <is>
          <t>270.2</t>
        </is>
      </c>
      <c r="R95" s="144" t="inlineStr">
        <is>
          <t>40.8</t>
        </is>
      </c>
      <c r="S95" s="145" t="inlineStr">
        <is>
          <t>B-302-RPP-DC-4</t>
        </is>
      </c>
      <c r="T95" s="72" t="n"/>
      <c r="U95" s="141">
        <f>R95*0.935</f>
        <v/>
      </c>
      <c r="V95" s="141">
        <f>U95/215</f>
        <v/>
      </c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148" t="n"/>
    </row>
    <row r="96" ht="14.15" customFormat="1" customHeight="1" s="10">
      <c r="A96" s="53" t="n"/>
      <c r="B96" s="53" t="n"/>
      <c r="C96" s="53" t="n"/>
      <c r="D96" s="53" t="n"/>
      <c r="E96" s="53" t="n"/>
      <c r="F96" s="46" t="n"/>
      <c r="G96" s="47" t="n"/>
      <c r="H96" s="53" t="n"/>
      <c r="I96" s="53" t="n"/>
      <c r="J96" s="53" t="n"/>
      <c r="K96" s="53" t="n"/>
      <c r="L96" s="53" t="n"/>
      <c r="M96" s="53" t="n"/>
      <c r="N96" s="53" t="n"/>
      <c r="O96" s="152" t="inlineStr">
        <is>
          <t>B-345-HVDC-231</t>
        </is>
      </c>
      <c r="P96" s="141" t="inlineStr">
        <is>
          <t>270.4</t>
        </is>
      </c>
      <c r="Q96" s="141" t="inlineStr">
        <is>
          <t>270.3</t>
        </is>
      </c>
      <c r="R96" s="144" t="inlineStr">
        <is>
          <t>68.9</t>
        </is>
      </c>
      <c r="S96" s="145" t="inlineStr">
        <is>
          <t>B-302-RPP-DC-6</t>
        </is>
      </c>
      <c r="T96" s="72" t="n"/>
      <c r="U96" s="141">
        <f>R96*0.935</f>
        <v/>
      </c>
      <c r="V96" s="141">
        <f>U96/215</f>
        <v/>
      </c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148" t="n"/>
    </row>
    <row r="97" ht="14.15" customFormat="1" customHeight="1" s="10">
      <c r="A97" s="53" t="n"/>
      <c r="B97" s="53" t="n"/>
      <c r="C97" s="53" t="n"/>
      <c r="D97" s="53" t="n"/>
      <c r="E97" s="53" t="n"/>
      <c r="F97" s="46" t="n"/>
      <c r="G97" s="47" t="n"/>
      <c r="H97" s="53" t="n"/>
      <c r="I97" s="53" t="n"/>
      <c r="J97" s="53" t="n"/>
      <c r="K97" s="53" t="n"/>
      <c r="L97" s="53" t="n"/>
      <c r="M97" s="53" t="n"/>
      <c r="N97" s="53" t="n"/>
      <c r="O97" s="152" t="inlineStr">
        <is>
          <t>B-345-HVDC-241</t>
        </is>
      </c>
      <c r="P97" s="141" t="inlineStr">
        <is>
          <t>270.7</t>
        </is>
      </c>
      <c r="Q97" s="141" t="inlineStr">
        <is>
          <t>271.0</t>
        </is>
      </c>
      <c r="R97" s="144" t="inlineStr">
        <is>
          <t>46.8</t>
        </is>
      </c>
      <c r="S97" s="145" t="inlineStr">
        <is>
          <t>B-302-RPP-DC-8</t>
        </is>
      </c>
      <c r="T97" s="72" t="n"/>
      <c r="U97" s="141">
        <f>R97*0.935</f>
        <v/>
      </c>
      <c r="V97" s="141">
        <f>U97/215</f>
        <v/>
      </c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30" t="n"/>
      <c r="AF97" s="148" t="n"/>
    </row>
    <row r="98" ht="14.15" customFormat="1" customHeight="1" s="10">
      <c r="A98" s="53" t="n"/>
      <c r="B98" s="53" t="n"/>
      <c r="C98" s="53" t="n"/>
      <c r="D98" s="53" t="n"/>
      <c r="E98" s="53" t="n"/>
      <c r="F98" s="46" t="n"/>
      <c r="G98" s="47" t="n"/>
      <c r="H98" s="53" t="n"/>
      <c r="I98" s="53" t="n"/>
      <c r="J98" s="53" t="n"/>
      <c r="K98" s="53" t="n"/>
      <c r="L98" s="53" t="n"/>
      <c r="M98" s="53" t="n"/>
      <c r="N98" s="53" t="n"/>
      <c r="O98" s="152" t="inlineStr">
        <is>
          <t>B-345-HVDC-251</t>
        </is>
      </c>
      <c r="P98" s="141" t="inlineStr">
        <is>
          <t>271.1</t>
        </is>
      </c>
      <c r="Q98" s="141" t="inlineStr">
        <is>
          <t>270.8</t>
        </is>
      </c>
      <c r="R98" s="144" t="inlineStr">
        <is>
          <t>99.6</t>
        </is>
      </c>
      <c r="S98" s="145" t="inlineStr">
        <is>
          <t>B-302-RPP-DC-10</t>
        </is>
      </c>
      <c r="T98" s="72" t="n"/>
      <c r="U98" s="141">
        <f>R98*0.935</f>
        <v/>
      </c>
      <c r="V98" s="141">
        <f>U98/215</f>
        <v/>
      </c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141" t="inlineStr">
        <is>
          <t>7.69</t>
        </is>
      </c>
      <c r="AF98" s="148" t="n"/>
    </row>
    <row r="99" ht="14.15" customFormat="1" customHeight="1" s="10">
      <c r="A99" s="53" t="n"/>
      <c r="B99" s="53" t="n"/>
      <c r="C99" s="53" t="n"/>
      <c r="D99" s="53" t="n"/>
      <c r="E99" s="53" t="n"/>
      <c r="F99" s="46" t="n"/>
      <c r="G99" s="47" t="n"/>
      <c r="H99" s="53" t="n"/>
      <c r="I99" s="53" t="n"/>
      <c r="J99" s="53" t="n"/>
      <c r="K99" s="53" t="n"/>
      <c r="L99" s="53" t="n"/>
      <c r="M99" s="53" t="n"/>
      <c r="N99" s="53" t="n"/>
      <c r="O99" s="152" t="inlineStr">
        <is>
          <t>B-345-HVDC-261</t>
        </is>
      </c>
      <c r="P99" s="141" t="inlineStr">
        <is>
          <t>269.5</t>
        </is>
      </c>
      <c r="Q99" s="141" t="inlineStr">
        <is>
          <t>269.7</t>
        </is>
      </c>
      <c r="R99" s="144" t="inlineStr">
        <is>
          <t>78.9</t>
        </is>
      </c>
      <c r="S99" s="145" t="inlineStr">
        <is>
          <t>B-302-RPP-DC-12</t>
        </is>
      </c>
      <c r="T99" s="72" t="n"/>
      <c r="U99" s="141">
        <f>R99*0.935</f>
        <v/>
      </c>
      <c r="V99" s="141">
        <f>U99/215</f>
        <v/>
      </c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148" t="n"/>
    </row>
    <row r="100" ht="14.15" customFormat="1" customHeight="1" s="10">
      <c r="A100" s="30" t="n"/>
      <c r="B100" s="30" t="n"/>
      <c r="C100" s="30" t="n"/>
      <c r="D100" s="30" t="n"/>
      <c r="E100" s="30" t="n"/>
      <c r="F100" s="93" t="n"/>
      <c r="G100" s="95" t="n"/>
      <c r="H100" s="30" t="n"/>
      <c r="I100" s="30" t="n"/>
      <c r="J100" s="30" t="n"/>
      <c r="K100" s="30" t="n"/>
      <c r="L100" s="30" t="n"/>
      <c r="M100" s="30" t="n"/>
      <c r="N100" s="30" t="n"/>
      <c r="O100" s="152" t="inlineStr">
        <is>
          <t>B-345-HVDC-271</t>
        </is>
      </c>
      <c r="P100" s="141" t="inlineStr">
        <is>
          <t>270.0</t>
        </is>
      </c>
      <c r="Q100" s="141" t="inlineStr">
        <is>
          <t>270.1</t>
        </is>
      </c>
      <c r="R100" s="144" t="inlineStr">
        <is>
          <t>77.0</t>
        </is>
      </c>
      <c r="S100" s="145" t="inlineStr">
        <is>
          <t>B-302-RPP-DC-14</t>
        </is>
      </c>
      <c r="T100" s="72" t="n"/>
      <c r="U100" s="141">
        <f>R100*0.935</f>
        <v/>
      </c>
      <c r="V100" s="141">
        <f>U100/215</f>
        <v/>
      </c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148" t="n"/>
    </row>
    <row r="101" ht="14.15" customFormat="1" customHeight="1" s="10">
      <c r="A101" s="141" t="inlineStr">
        <is>
          <t>M4</t>
        </is>
      </c>
      <c r="B101" s="141" t="inlineStr">
        <is>
          <t>B-317-TR201</t>
        </is>
      </c>
      <c r="C101" s="141" t="inlineStr">
        <is>
          <t>正常</t>
        </is>
      </c>
      <c r="D101" s="141" t="inlineStr">
        <is>
          <t>54.5</t>
        </is>
      </c>
      <c r="E101" s="141" t="inlineStr">
        <is>
          <t>661.0</t>
        </is>
      </c>
      <c r="F101" s="141">
        <f>E101/2500</f>
        <v/>
      </c>
      <c r="G101" s="92" t="n"/>
      <c r="H101" s="142" t="inlineStr">
        <is>
          <t>自投自复</t>
        </is>
      </c>
      <c r="I101" s="142" t="inlineStr">
        <is>
          <t>B-317-UPS-101</t>
        </is>
      </c>
      <c r="J101" s="141" t="inlineStr">
        <is>
          <t>21.1</t>
        </is>
      </c>
      <c r="K101" s="141">
        <f>J101/300</f>
        <v/>
      </c>
      <c r="L101" s="141" t="inlineStr">
        <is>
          <t>正常</t>
        </is>
      </c>
      <c r="M101" s="141" t="inlineStr">
        <is>
          <t>273.1</t>
        </is>
      </c>
      <c r="N101" s="141" t="inlineStr">
        <is>
          <t>221.4</t>
        </is>
      </c>
      <c r="O101" s="152" t="inlineStr">
        <is>
          <t>B-317-HVDC-111</t>
        </is>
      </c>
      <c r="P101" s="141" t="inlineStr">
        <is>
          <t>269.8</t>
        </is>
      </c>
      <c r="Q101" s="141" t="inlineStr">
        <is>
          <t>269.8</t>
        </is>
      </c>
      <c r="R101" s="144" t="inlineStr">
        <is>
          <t>0</t>
        </is>
      </c>
      <c r="S101" s="145" t="inlineStr">
        <is>
          <t>B-301-RPP-DC-1</t>
        </is>
      </c>
      <c r="T101" s="72" t="n"/>
      <c r="U101" s="141">
        <f>R101*0.935</f>
        <v/>
      </c>
      <c r="V101" s="141">
        <f>U101/215</f>
        <v/>
      </c>
      <c r="W101" s="142" t="n">
        <v>301</v>
      </c>
      <c r="X101" s="141">
        <f>SUM(U101:U114)</f>
        <v/>
      </c>
      <c r="Y101" s="141">
        <f>X101/2150</f>
        <v/>
      </c>
      <c r="Z101" s="141" t="n">
        <v>154</v>
      </c>
      <c r="AA101" s="146" t="n">
        <v>152</v>
      </c>
      <c r="AB101" s="141">
        <f>101/Z101</f>
        <v/>
      </c>
      <c r="AC101" s="141" t="n">
        <v>12</v>
      </c>
      <c r="AD101" s="141" t="n">
        <v>8</v>
      </c>
      <c r="AE101" s="141" t="inlineStr">
        <is>
          <t>南侧</t>
        </is>
      </c>
      <c r="AF101" s="148" t="n"/>
    </row>
    <row r="102" ht="14.15" customFormat="1" customHeight="1" s="10">
      <c r="A102" s="53" t="n"/>
      <c r="B102" s="53" t="n"/>
      <c r="C102" s="53" t="n"/>
      <c r="D102" s="53" t="n"/>
      <c r="E102" s="53" t="n"/>
      <c r="F102" s="46" t="n"/>
      <c r="G102" s="47" t="n"/>
      <c r="H102" s="53" t="n"/>
      <c r="I102" s="53" t="n"/>
      <c r="J102" s="53" t="n"/>
      <c r="K102" s="53" t="n"/>
      <c r="L102" s="53" t="n"/>
      <c r="M102" s="53" t="n"/>
      <c r="N102" s="53" t="n"/>
      <c r="O102" s="143" t="inlineStr">
        <is>
          <t>B-317-HVDC-121</t>
        </is>
      </c>
      <c r="P102" s="141" t="inlineStr">
        <is>
          <t>269.6</t>
        </is>
      </c>
      <c r="Q102" s="141" t="inlineStr">
        <is>
          <t>269.5</t>
        </is>
      </c>
      <c r="R102" s="144" t="inlineStr">
        <is>
          <t>56.7</t>
        </is>
      </c>
      <c r="S102" s="145" t="inlineStr">
        <is>
          <t>B-301-RPP-DC-3</t>
        </is>
      </c>
      <c r="T102" s="72" t="n"/>
      <c r="U102" s="141">
        <f>R102*0.935</f>
        <v/>
      </c>
      <c r="V102" s="141">
        <f>U102/215</f>
        <v/>
      </c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148" t="n"/>
    </row>
    <row r="103" ht="14.15" customFormat="1" customHeight="1" s="10">
      <c r="A103" s="53" t="n"/>
      <c r="B103" s="53" t="n"/>
      <c r="C103" s="53" t="n"/>
      <c r="D103" s="53" t="n"/>
      <c r="E103" s="53" t="n"/>
      <c r="F103" s="46" t="n"/>
      <c r="G103" s="47" t="n"/>
      <c r="H103" s="53" t="n"/>
      <c r="I103" s="53" t="n"/>
      <c r="J103" s="53" t="n"/>
      <c r="K103" s="53" t="n"/>
      <c r="L103" s="53" t="n"/>
      <c r="M103" s="53" t="n"/>
      <c r="N103" s="53" t="n"/>
      <c r="O103" s="152" t="inlineStr">
        <is>
          <t>B-317-HVDC-131</t>
        </is>
      </c>
      <c r="P103" s="141" t="inlineStr">
        <is>
          <t>270.8</t>
        </is>
      </c>
      <c r="Q103" s="141" t="inlineStr">
        <is>
          <t>270.6</t>
        </is>
      </c>
      <c r="R103" s="144" t="inlineStr">
        <is>
          <t>50.6</t>
        </is>
      </c>
      <c r="S103" s="145" t="inlineStr">
        <is>
          <t>B-301-RPP-DC-5</t>
        </is>
      </c>
      <c r="T103" s="72" t="n"/>
      <c r="U103" s="141">
        <f>R103*0.935</f>
        <v/>
      </c>
      <c r="V103" s="141">
        <f>U103/215</f>
        <v/>
      </c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148" t="n"/>
    </row>
    <row r="104" ht="14.15" customFormat="1" customHeight="1" s="10">
      <c r="A104" s="53" t="n"/>
      <c r="B104" s="53" t="n"/>
      <c r="C104" s="53" t="n"/>
      <c r="D104" s="53" t="n"/>
      <c r="E104" s="53" t="n"/>
      <c r="F104" s="46" t="n"/>
      <c r="G104" s="47" t="n"/>
      <c r="H104" s="53" t="n"/>
      <c r="I104" s="53" t="n"/>
      <c r="J104" s="53" t="n"/>
      <c r="K104" s="53" t="n"/>
      <c r="L104" s="53" t="n"/>
      <c r="M104" s="53" t="n"/>
      <c r="N104" s="53" t="n"/>
      <c r="O104" s="143" t="inlineStr">
        <is>
          <t>B-317-HVDC-141</t>
        </is>
      </c>
      <c r="P104" s="141" t="inlineStr">
        <is>
          <t>270.8</t>
        </is>
      </c>
      <c r="Q104" s="141" t="inlineStr">
        <is>
          <t>270.5</t>
        </is>
      </c>
      <c r="R104" s="144" t="inlineStr">
        <is>
          <t>59.3</t>
        </is>
      </c>
      <c r="S104" s="145" t="inlineStr">
        <is>
          <t>B-301-RPP-DC-7</t>
        </is>
      </c>
      <c r="T104" s="72" t="n"/>
      <c r="U104" s="141">
        <f>R104*0.935</f>
        <v/>
      </c>
      <c r="V104" s="141">
        <f>U104/215</f>
        <v/>
      </c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30" t="n"/>
      <c r="AF104" s="148" t="n"/>
    </row>
    <row r="105" ht="14.15" customFormat="1" customHeight="1" s="10">
      <c r="A105" s="53" t="n"/>
      <c r="B105" s="53" t="n"/>
      <c r="C105" s="53" t="n"/>
      <c r="D105" s="53" t="n"/>
      <c r="E105" s="53" t="n"/>
      <c r="F105" s="46" t="n"/>
      <c r="G105" s="47" t="n"/>
      <c r="H105" s="53" t="n"/>
      <c r="I105" s="53" t="n"/>
      <c r="J105" s="53" t="n"/>
      <c r="K105" s="53" t="n"/>
      <c r="L105" s="53" t="n"/>
      <c r="M105" s="53" t="n"/>
      <c r="N105" s="53" t="n"/>
      <c r="O105" s="152" t="inlineStr">
        <is>
          <t>B-317-HVDC-151</t>
        </is>
      </c>
      <c r="P105" s="141" t="inlineStr">
        <is>
          <t>270.7</t>
        </is>
      </c>
      <c r="Q105" s="141" t="inlineStr">
        <is>
          <t>271.5</t>
        </is>
      </c>
      <c r="R105" s="144" t="inlineStr">
        <is>
          <t>68.2</t>
        </is>
      </c>
      <c r="S105" s="145" t="inlineStr">
        <is>
          <t>B-301-RPP-DC-9</t>
        </is>
      </c>
      <c r="T105" s="72" t="n"/>
      <c r="U105" s="141">
        <f>R105*0.935</f>
        <v/>
      </c>
      <c r="V105" s="141">
        <f>U105/215</f>
        <v/>
      </c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141" t="inlineStr">
        <is>
          <t>10.96</t>
        </is>
      </c>
      <c r="AF105" s="148" t="n"/>
    </row>
    <row r="106" ht="14.15" customFormat="1" customHeight="1" s="10">
      <c r="A106" s="53" t="n"/>
      <c r="B106" s="53" t="n"/>
      <c r="C106" s="53" t="n"/>
      <c r="D106" s="53" t="n"/>
      <c r="E106" s="53" t="n"/>
      <c r="F106" s="46" t="n"/>
      <c r="G106" s="47" t="n"/>
      <c r="H106" s="53" t="n"/>
      <c r="I106" s="53" t="n"/>
      <c r="J106" s="53" t="n"/>
      <c r="K106" s="53" t="n"/>
      <c r="L106" s="53" t="n"/>
      <c r="M106" s="53" t="n"/>
      <c r="N106" s="53" t="n"/>
      <c r="O106" s="143" t="inlineStr">
        <is>
          <t>B-317-HVDC-161</t>
        </is>
      </c>
      <c r="P106" s="141" t="inlineStr">
        <is>
          <t>269.9</t>
        </is>
      </c>
      <c r="Q106" s="141" t="inlineStr">
        <is>
          <t>270.5</t>
        </is>
      </c>
      <c r="R106" s="144" t="inlineStr">
        <is>
          <t>46.2</t>
        </is>
      </c>
      <c r="S106" s="145" t="inlineStr">
        <is>
          <t>B-301-RPP-DC-11</t>
        </is>
      </c>
      <c r="T106" s="72" t="n"/>
      <c r="U106" s="141">
        <f>R106*0.935</f>
        <v/>
      </c>
      <c r="V106" s="141">
        <f>U106/215</f>
        <v/>
      </c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148" t="n"/>
    </row>
    <row r="107" ht="14.15" customFormat="1" customHeight="1" s="10">
      <c r="A107" s="53" t="n"/>
      <c r="B107" s="30" t="n"/>
      <c r="C107" s="30" t="n"/>
      <c r="D107" s="30" t="n"/>
      <c r="E107" s="30" t="n"/>
      <c r="F107" s="93" t="n"/>
      <c r="G107" s="95" t="n"/>
      <c r="H107" s="30" t="n"/>
      <c r="I107" s="53" t="n"/>
      <c r="J107" s="53" t="n"/>
      <c r="K107" s="53" t="n"/>
      <c r="L107" s="53" t="n"/>
      <c r="M107" s="53" t="n"/>
      <c r="N107" s="53" t="n"/>
      <c r="O107" s="152" t="inlineStr">
        <is>
          <t>B-317-HVDC-171</t>
        </is>
      </c>
      <c r="P107" s="141" t="inlineStr">
        <is>
          <t>270.7</t>
        </is>
      </c>
      <c r="Q107" s="141" t="inlineStr">
        <is>
          <t>270.9</t>
        </is>
      </c>
      <c r="R107" s="144" t="inlineStr">
        <is>
          <t>60.7</t>
        </is>
      </c>
      <c r="S107" s="145" t="inlineStr">
        <is>
          <t>B-301-RPP-DC-13</t>
        </is>
      </c>
      <c r="T107" s="72" t="n"/>
      <c r="U107" s="141">
        <f>R107*0.935</f>
        <v/>
      </c>
      <c r="V107" s="141">
        <f>U107/215</f>
        <v/>
      </c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30" t="n"/>
      <c r="AF107" s="148" t="n"/>
    </row>
    <row r="108" ht="14.15" customFormat="1" customHeight="1" s="10">
      <c r="A108" s="53" t="n"/>
      <c r="B108" s="141" t="inlineStr">
        <is>
          <t>B-317-TR202</t>
        </is>
      </c>
      <c r="C108" s="141" t="inlineStr">
        <is>
          <t>正常</t>
        </is>
      </c>
      <c r="D108" s="141" t="inlineStr">
        <is>
          <t>53.7</t>
        </is>
      </c>
      <c r="E108" s="141" t="inlineStr">
        <is>
          <t>630.0</t>
        </is>
      </c>
      <c r="F108" s="141">
        <f>E108/2500</f>
        <v/>
      </c>
      <c r="G108" s="92" t="n"/>
      <c r="H108" s="142" t="inlineStr">
        <is>
          <t>自投自复</t>
        </is>
      </c>
      <c r="I108" s="53" t="n"/>
      <c r="J108" s="53" t="n"/>
      <c r="K108" s="53" t="n"/>
      <c r="L108" s="53" t="n"/>
      <c r="M108" s="53" t="n"/>
      <c r="N108" s="53" t="n"/>
      <c r="O108" s="143" t="inlineStr">
        <is>
          <t>B-317-HVDC-211</t>
        </is>
      </c>
      <c r="P108" s="141" t="inlineStr">
        <is>
          <t>269.9</t>
        </is>
      </c>
      <c r="Q108" s="141" t="inlineStr">
        <is>
          <t>269.7</t>
        </is>
      </c>
      <c r="R108" s="144" t="inlineStr">
        <is>
          <t>103.8</t>
        </is>
      </c>
      <c r="S108" s="145" t="inlineStr">
        <is>
          <t>B-301-RPP-DC-2</t>
        </is>
      </c>
      <c r="T108" s="72" t="n"/>
      <c r="U108" s="141">
        <f>R108*0.935</f>
        <v/>
      </c>
      <c r="V108" s="141">
        <f>U108/215</f>
        <v/>
      </c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141" t="inlineStr">
        <is>
          <t>北侧</t>
        </is>
      </c>
      <c r="AF108" s="148" t="n"/>
    </row>
    <row r="109" ht="14.15" customFormat="1" customHeight="1" s="10">
      <c r="A109" s="53" t="n"/>
      <c r="B109" s="53" t="n"/>
      <c r="C109" s="53" t="n"/>
      <c r="D109" s="53" t="n"/>
      <c r="E109" s="53" t="n"/>
      <c r="F109" s="46" t="n"/>
      <c r="G109" s="47" t="n"/>
      <c r="H109" s="53" t="n"/>
      <c r="I109" s="53" t="n"/>
      <c r="J109" s="53" t="n"/>
      <c r="K109" s="53" t="n"/>
      <c r="L109" s="53" t="n"/>
      <c r="M109" s="53" t="n"/>
      <c r="N109" s="53" t="n"/>
      <c r="O109" s="143" t="inlineStr">
        <is>
          <t>B-317-HVDC-221</t>
        </is>
      </c>
      <c r="P109" s="141" t="inlineStr">
        <is>
          <t>273.7</t>
        </is>
      </c>
      <c r="Q109" s="141" t="inlineStr">
        <is>
          <t>270.6</t>
        </is>
      </c>
      <c r="R109" s="144" t="inlineStr">
        <is>
          <t>53.6</t>
        </is>
      </c>
      <c r="S109" s="145" t="inlineStr">
        <is>
          <t>B-301-RPP-DC-4</t>
        </is>
      </c>
      <c r="T109" s="72" t="n"/>
      <c r="U109" s="141">
        <f>R109*0.935</f>
        <v/>
      </c>
      <c r="V109" s="141">
        <f>U109/215</f>
        <v/>
      </c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148" t="n"/>
    </row>
    <row r="110" ht="14.15" customFormat="1" customHeight="1" s="10">
      <c r="A110" s="53" t="n"/>
      <c r="B110" s="53" t="n"/>
      <c r="C110" s="53" t="n"/>
      <c r="D110" s="53" t="n"/>
      <c r="E110" s="53" t="n"/>
      <c r="F110" s="46" t="n"/>
      <c r="G110" s="47" t="n"/>
      <c r="H110" s="53" t="n"/>
      <c r="I110" s="53" t="n"/>
      <c r="J110" s="53" t="n"/>
      <c r="K110" s="53" t="n"/>
      <c r="L110" s="53" t="n"/>
      <c r="M110" s="53" t="n"/>
      <c r="N110" s="53" t="n"/>
      <c r="O110" s="143" t="inlineStr">
        <is>
          <t>B-317-HVDC-231</t>
        </is>
      </c>
      <c r="P110" s="141" t="inlineStr">
        <is>
          <t>270.6</t>
        </is>
      </c>
      <c r="Q110" s="141" t="inlineStr">
        <is>
          <t>270.2</t>
        </is>
      </c>
      <c r="R110" s="144" t="inlineStr">
        <is>
          <t>54.2</t>
        </is>
      </c>
      <c r="S110" s="145" t="inlineStr">
        <is>
          <t>B-301-RPP-DC-6</t>
        </is>
      </c>
      <c r="T110" s="72" t="n"/>
      <c r="U110" s="141">
        <f>R110*0.935</f>
        <v/>
      </c>
      <c r="V110" s="141">
        <f>U110/215</f>
        <v/>
      </c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148" t="n"/>
    </row>
    <row r="111" ht="14.15" customFormat="1" customHeight="1" s="10">
      <c r="A111" s="53" t="n"/>
      <c r="B111" s="53" t="n"/>
      <c r="C111" s="53" t="n"/>
      <c r="D111" s="53" t="n"/>
      <c r="E111" s="53" t="n"/>
      <c r="F111" s="46" t="n"/>
      <c r="G111" s="47" t="n"/>
      <c r="H111" s="53" t="n"/>
      <c r="I111" s="53" t="n"/>
      <c r="J111" s="53" t="n"/>
      <c r="K111" s="53" t="n"/>
      <c r="L111" s="53" t="n"/>
      <c r="M111" s="53" t="n"/>
      <c r="N111" s="53" t="n"/>
      <c r="O111" s="143" t="inlineStr">
        <is>
          <t>B-317-HVDC-241</t>
        </is>
      </c>
      <c r="P111" s="141" t="inlineStr">
        <is>
          <t>270.5</t>
        </is>
      </c>
      <c r="Q111" s="141" t="inlineStr">
        <is>
          <t>270.5</t>
        </is>
      </c>
      <c r="R111" s="144" t="inlineStr">
        <is>
          <t>55.4</t>
        </is>
      </c>
      <c r="S111" s="145" t="inlineStr">
        <is>
          <t>B-301-RPP-DC-8</t>
        </is>
      </c>
      <c r="T111" s="72" t="n"/>
      <c r="U111" s="141">
        <f>R111*0.935</f>
        <v/>
      </c>
      <c r="V111" s="141">
        <f>U111/215</f>
        <v/>
      </c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30" t="n"/>
      <c r="AF111" s="148" t="n"/>
    </row>
    <row r="112" ht="14.15" customFormat="1" customHeight="1" s="10">
      <c r="A112" s="53" t="n"/>
      <c r="B112" s="53" t="n"/>
      <c r="C112" s="53" t="n"/>
      <c r="D112" s="53" t="n"/>
      <c r="E112" s="53" t="n"/>
      <c r="F112" s="46" t="n"/>
      <c r="G112" s="47" t="n"/>
      <c r="H112" s="53" t="n"/>
      <c r="I112" s="53" t="n"/>
      <c r="J112" s="53" t="n"/>
      <c r="K112" s="53" t="n"/>
      <c r="L112" s="53" t="n"/>
      <c r="M112" s="53" t="n"/>
      <c r="N112" s="53" t="n"/>
      <c r="O112" s="143" t="inlineStr">
        <is>
          <t>B-317-HVDC-251</t>
        </is>
      </c>
      <c r="P112" s="141" t="inlineStr">
        <is>
          <t>270.0</t>
        </is>
      </c>
      <c r="Q112" s="141" t="inlineStr">
        <is>
          <t>270.4</t>
        </is>
      </c>
      <c r="R112" s="144" t="inlineStr">
        <is>
          <t>67.7</t>
        </is>
      </c>
      <c r="S112" s="145" t="inlineStr">
        <is>
          <t>B-301-RPP-DC-10</t>
        </is>
      </c>
      <c r="T112" s="72" t="n"/>
      <c r="U112" s="141">
        <f>R112*0.935</f>
        <v/>
      </c>
      <c r="V112" s="141">
        <f>U112/215</f>
        <v/>
      </c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141" t="inlineStr">
        <is>
          <t>9.28</t>
        </is>
      </c>
      <c r="AF112" s="148" t="n"/>
    </row>
    <row r="113" ht="14.15" customFormat="1" customHeight="1" s="10">
      <c r="A113" s="53" t="n"/>
      <c r="B113" s="53" t="n"/>
      <c r="C113" s="53" t="n"/>
      <c r="D113" s="53" t="n"/>
      <c r="E113" s="53" t="n"/>
      <c r="F113" s="46" t="n"/>
      <c r="G113" s="47" t="n"/>
      <c r="H113" s="53" t="n"/>
      <c r="I113" s="53" t="n"/>
      <c r="J113" s="53" t="n"/>
      <c r="K113" s="53" t="n"/>
      <c r="L113" s="53" t="n"/>
      <c r="M113" s="53" t="n"/>
      <c r="N113" s="53" t="n"/>
      <c r="O113" s="143" t="inlineStr">
        <is>
          <t>B-317-HVDC-261</t>
        </is>
      </c>
      <c r="P113" s="141" t="inlineStr">
        <is>
          <t>271.1</t>
        </is>
      </c>
      <c r="Q113" s="141" t="inlineStr">
        <is>
          <t>272.4</t>
        </is>
      </c>
      <c r="R113" s="144" t="inlineStr">
        <is>
          <t>41.2</t>
        </is>
      </c>
      <c r="S113" s="145" t="inlineStr">
        <is>
          <t>B-301-RPP-DC-12</t>
        </is>
      </c>
      <c r="T113" s="72" t="n"/>
      <c r="U113" s="141">
        <f>R113*0.935</f>
        <v/>
      </c>
      <c r="V113" s="141">
        <f>U113/215</f>
        <v/>
      </c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148" t="n"/>
    </row>
    <row r="114" ht="14.15" customFormat="1" customHeight="1" s="10">
      <c r="A114" s="30" t="n"/>
      <c r="B114" s="30" t="n"/>
      <c r="C114" s="30" t="n"/>
      <c r="D114" s="30" t="n"/>
      <c r="E114" s="30" t="n"/>
      <c r="F114" s="93" t="n"/>
      <c r="G114" s="95" t="n"/>
      <c r="H114" s="30" t="n"/>
      <c r="I114" s="30" t="n"/>
      <c r="J114" s="30" t="n"/>
      <c r="K114" s="30" t="n"/>
      <c r="L114" s="30" t="n"/>
      <c r="M114" s="30" t="n"/>
      <c r="N114" s="30" t="n"/>
      <c r="O114" s="143" t="inlineStr">
        <is>
          <t>B-317-HVDC-271</t>
        </is>
      </c>
      <c r="P114" s="141" t="inlineStr">
        <is>
          <t>271.3</t>
        </is>
      </c>
      <c r="Q114" s="141" t="inlineStr">
        <is>
          <t>270.6</t>
        </is>
      </c>
      <c r="R114" s="144" t="inlineStr">
        <is>
          <t>57.8</t>
        </is>
      </c>
      <c r="S114" s="145" t="inlineStr">
        <is>
          <t>B-301-RPP-DC-14</t>
        </is>
      </c>
      <c r="T114" s="72" t="n"/>
      <c r="U114" s="141">
        <f>R114*0.935</f>
        <v/>
      </c>
      <c r="V114" s="141">
        <f>U114/215</f>
        <v/>
      </c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148" t="n"/>
    </row>
    <row r="115" ht="14.15" customFormat="1" customHeight="1" s="10">
      <c r="A115" s="141" t="inlineStr">
        <is>
          <t>M5</t>
        </is>
      </c>
      <c r="B115" s="141" t="inlineStr">
        <is>
          <t>B-445-TR101</t>
        </is>
      </c>
      <c r="C115" s="141" t="inlineStr">
        <is>
          <t>正常</t>
        </is>
      </c>
      <c r="D115" s="141" t="inlineStr">
        <is>
          <t>57.3</t>
        </is>
      </c>
      <c r="E115" s="141" t="inlineStr">
        <is>
          <t>705.0</t>
        </is>
      </c>
      <c r="F115" s="141">
        <f>E115/2500</f>
        <v/>
      </c>
      <c r="G115" s="92" t="n"/>
      <c r="H115" s="142" t="inlineStr">
        <is>
          <t>自投自复</t>
        </is>
      </c>
      <c r="I115" s="142" t="inlineStr">
        <is>
          <t>B-445-UPS-101</t>
        </is>
      </c>
      <c r="J115" s="141" t="n"/>
      <c r="K115" s="141">
        <f>J115/300</f>
        <v/>
      </c>
      <c r="L115" s="141" t="inlineStr">
        <is>
          <t>正常</t>
        </is>
      </c>
      <c r="M115" s="141" t="n"/>
      <c r="N115" s="141" t="n"/>
      <c r="O115" s="143" t="inlineStr">
        <is>
          <t>B-445-HVDC-111</t>
        </is>
      </c>
      <c r="P115" s="141" t="inlineStr">
        <is>
          <t>270.1</t>
        </is>
      </c>
      <c r="Q115" s="141" t="inlineStr">
        <is>
          <t>270.2</t>
        </is>
      </c>
      <c r="R115" s="144" t="inlineStr">
        <is>
          <t>78.8</t>
        </is>
      </c>
      <c r="S115" s="145" t="inlineStr">
        <is>
          <t>B-402-RPP-DC-1</t>
        </is>
      </c>
      <c r="T115" s="72" t="n"/>
      <c r="U115" s="141">
        <f>R115*0.935</f>
        <v/>
      </c>
      <c r="V115" s="141">
        <f>U115/215</f>
        <v/>
      </c>
      <c r="W115" s="142" t="n">
        <v>402</v>
      </c>
      <c r="X115" s="141">
        <f>SUM(U115:U124)</f>
        <v/>
      </c>
      <c r="Y115" s="141">
        <f>X115/2150</f>
        <v/>
      </c>
      <c r="Z115" s="141" t="n">
        <v>170</v>
      </c>
      <c r="AA115" s="146" t="n">
        <v>170</v>
      </c>
      <c r="AB115" s="141">
        <f>115/Z115</f>
        <v/>
      </c>
      <c r="AC115" s="141" t="n">
        <v>20</v>
      </c>
      <c r="AD115" s="141" t="n">
        <v>0</v>
      </c>
      <c r="AE115" s="141" t="inlineStr">
        <is>
          <t>南侧</t>
        </is>
      </c>
      <c r="AF115" s="148" t="n"/>
    </row>
    <row r="116" ht="14.15" customFormat="1" customHeight="1" s="10">
      <c r="A116" s="53" t="n"/>
      <c r="B116" s="53" t="n"/>
      <c r="C116" s="53" t="n"/>
      <c r="D116" s="53" t="n"/>
      <c r="E116" s="53" t="n"/>
      <c r="F116" s="46" t="n"/>
      <c r="G116" s="47" t="n"/>
      <c r="H116" s="53" t="n"/>
      <c r="I116" s="53" t="n"/>
      <c r="J116" s="53" t="n"/>
      <c r="K116" s="53" t="n"/>
      <c r="L116" s="53" t="n"/>
      <c r="M116" s="53" t="n"/>
      <c r="N116" s="53" t="n"/>
      <c r="O116" s="143" t="inlineStr">
        <is>
          <t>B-445-HVDC-121</t>
        </is>
      </c>
      <c r="P116" s="141" t="inlineStr">
        <is>
          <t>270.8</t>
        </is>
      </c>
      <c r="Q116" s="141" t="inlineStr">
        <is>
          <t>270.5</t>
        </is>
      </c>
      <c r="R116" s="144" t="inlineStr">
        <is>
          <t>72.8</t>
        </is>
      </c>
      <c r="S116" s="145" t="inlineStr">
        <is>
          <t>B-402-RPP-DC-3</t>
        </is>
      </c>
      <c r="T116" s="72" t="n"/>
      <c r="U116" s="141">
        <f>R116*0.935</f>
        <v/>
      </c>
      <c r="V116" s="141">
        <f>U116/215</f>
        <v/>
      </c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148" t="n"/>
    </row>
    <row r="117" ht="14.15" customFormat="1" customHeight="1" s="10">
      <c r="A117" s="53" t="n"/>
      <c r="B117" s="53" t="n"/>
      <c r="C117" s="53" t="n"/>
      <c r="D117" s="53" t="n"/>
      <c r="E117" s="53" t="n"/>
      <c r="F117" s="46" t="n"/>
      <c r="G117" s="47" t="n"/>
      <c r="H117" s="53" t="n"/>
      <c r="I117" s="53" t="n"/>
      <c r="J117" s="53" t="n"/>
      <c r="K117" s="53" t="n"/>
      <c r="L117" s="53" t="n"/>
      <c r="M117" s="53" t="n"/>
      <c r="N117" s="53" t="n"/>
      <c r="O117" s="143" t="inlineStr">
        <is>
          <t>B-445-HVDC-131</t>
        </is>
      </c>
      <c r="P117" s="141" t="inlineStr">
        <is>
          <t>270.4</t>
        </is>
      </c>
      <c r="Q117" s="141" t="inlineStr">
        <is>
          <t>270.7</t>
        </is>
      </c>
      <c r="R117" s="144" t="inlineStr">
        <is>
          <t>66.8</t>
        </is>
      </c>
      <c r="S117" s="145" t="inlineStr">
        <is>
          <t>B-402-RPP-DC-5</t>
        </is>
      </c>
      <c r="T117" s="72" t="n"/>
      <c r="U117" s="141">
        <f>R117*0.935</f>
        <v/>
      </c>
      <c r="V117" s="141">
        <f>U117/215</f>
        <v/>
      </c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30" t="n"/>
      <c r="AF117" s="148" t="n"/>
    </row>
    <row r="118" ht="14.15" customFormat="1" customHeight="1" s="10">
      <c r="A118" s="53" t="n"/>
      <c r="B118" s="53" t="n"/>
      <c r="C118" s="53" t="n"/>
      <c r="D118" s="53" t="n"/>
      <c r="E118" s="53" t="n"/>
      <c r="F118" s="46" t="n"/>
      <c r="G118" s="47" t="n"/>
      <c r="H118" s="53" t="n"/>
      <c r="I118" s="53" t="n"/>
      <c r="J118" s="53" t="n"/>
      <c r="K118" s="53" t="n"/>
      <c r="L118" s="53" t="n"/>
      <c r="M118" s="53" t="n"/>
      <c r="N118" s="53" t="n"/>
      <c r="O118" s="143" t="inlineStr">
        <is>
          <t>B-445-HVDC-141</t>
        </is>
      </c>
      <c r="P118" s="141" t="inlineStr">
        <is>
          <t>271.4</t>
        </is>
      </c>
      <c r="Q118" s="141" t="inlineStr">
        <is>
          <t>270.8</t>
        </is>
      </c>
      <c r="R118" s="144" t="inlineStr">
        <is>
          <t>60.6</t>
        </is>
      </c>
      <c r="S118" s="145" t="inlineStr">
        <is>
          <t>B-402-RPP-DC-7</t>
        </is>
      </c>
      <c r="T118" s="72" t="n"/>
      <c r="U118" s="141">
        <f>R118*0.935</f>
        <v/>
      </c>
      <c r="V118" s="141">
        <f>U118/215</f>
        <v/>
      </c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141" t="inlineStr">
        <is>
          <t>10.0</t>
        </is>
      </c>
      <c r="AF118" s="148" t="n"/>
    </row>
    <row r="119" ht="14.15" customFormat="1" customHeight="1" s="10">
      <c r="A119" s="53" t="n"/>
      <c r="B119" s="30" t="n"/>
      <c r="C119" s="30" t="n"/>
      <c r="D119" s="30" t="n"/>
      <c r="E119" s="30" t="n"/>
      <c r="F119" s="93" t="n"/>
      <c r="G119" s="95" t="n"/>
      <c r="H119" s="30" t="n"/>
      <c r="I119" s="53" t="n"/>
      <c r="J119" s="53" t="n"/>
      <c r="K119" s="53" t="n"/>
      <c r="L119" s="53" t="n"/>
      <c r="M119" s="53" t="n"/>
      <c r="N119" s="53" t="n"/>
      <c r="O119" s="143" t="inlineStr">
        <is>
          <t>B-445-HVDC-151</t>
        </is>
      </c>
      <c r="P119" s="141" t="inlineStr">
        <is>
          <t>270.0</t>
        </is>
      </c>
      <c r="Q119" s="141" t="inlineStr">
        <is>
          <t>270.1</t>
        </is>
      </c>
      <c r="R119" s="144" t="inlineStr">
        <is>
          <t>77.1</t>
        </is>
      </c>
      <c r="S119" s="145" t="inlineStr">
        <is>
          <t>B-402-RPP-DC-9</t>
        </is>
      </c>
      <c r="T119" s="72" t="n"/>
      <c r="U119" s="141">
        <f>R119*0.935</f>
        <v/>
      </c>
      <c r="V119" s="141">
        <f>U119/215</f>
        <v/>
      </c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30" t="n"/>
      <c r="AF119" s="148" t="n"/>
    </row>
    <row r="120" ht="14.15" customFormat="1" customHeight="1" s="10">
      <c r="A120" s="53" t="n"/>
      <c r="B120" s="141" t="inlineStr">
        <is>
          <t>B-445-TR102</t>
        </is>
      </c>
      <c r="C120" s="141" t="inlineStr">
        <is>
          <t>正常</t>
        </is>
      </c>
      <c r="D120" s="141" t="inlineStr">
        <is>
          <t>59.0</t>
        </is>
      </c>
      <c r="E120" s="141" t="inlineStr">
        <is>
          <t>687.0</t>
        </is>
      </c>
      <c r="F120" s="141">
        <f>E120/2500</f>
        <v/>
      </c>
      <c r="G120" s="92" t="n"/>
      <c r="H120" s="142" t="inlineStr">
        <is>
          <t>自投自复</t>
        </is>
      </c>
      <c r="I120" s="53" t="n"/>
      <c r="J120" s="53" t="n"/>
      <c r="K120" s="53" t="n"/>
      <c r="L120" s="53" t="n"/>
      <c r="M120" s="53" t="n"/>
      <c r="N120" s="53" t="n"/>
      <c r="O120" s="143" t="inlineStr">
        <is>
          <t>B-445-HVDC-211</t>
        </is>
      </c>
      <c r="P120" s="141" t="inlineStr">
        <is>
          <t>270.3</t>
        </is>
      </c>
      <c r="Q120" s="141" t="inlineStr">
        <is>
          <t>270.5</t>
        </is>
      </c>
      <c r="R120" s="144" t="inlineStr">
        <is>
          <t>74.5</t>
        </is>
      </c>
      <c r="S120" s="145" t="inlineStr">
        <is>
          <t>B-402-RPP-DC-2</t>
        </is>
      </c>
      <c r="T120" s="72" t="n"/>
      <c r="U120" s="141">
        <f>R120*0.935</f>
        <v/>
      </c>
      <c r="V120" s="141">
        <f>U120/215</f>
        <v/>
      </c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141" t="inlineStr">
        <is>
          <t>北侧</t>
        </is>
      </c>
      <c r="AF120" s="148" t="n"/>
    </row>
    <row r="121" ht="14.15" customFormat="1" customHeight="1" s="10">
      <c r="A121" s="53" t="n"/>
      <c r="B121" s="53" t="n"/>
      <c r="C121" s="53" t="n"/>
      <c r="D121" s="53" t="n"/>
      <c r="E121" s="53" t="n"/>
      <c r="F121" s="46" t="n"/>
      <c r="G121" s="47" t="n"/>
      <c r="H121" s="53" t="n"/>
      <c r="I121" s="53" t="n"/>
      <c r="J121" s="53" t="n"/>
      <c r="K121" s="53" t="n"/>
      <c r="L121" s="53" t="n"/>
      <c r="M121" s="53" t="n"/>
      <c r="N121" s="53" t="n"/>
      <c r="O121" s="143" t="inlineStr">
        <is>
          <t>B-445-HVDC-221</t>
        </is>
      </c>
      <c r="P121" s="141" t="inlineStr">
        <is>
          <t>270.3</t>
        </is>
      </c>
      <c r="Q121" s="141" t="inlineStr">
        <is>
          <t>270.5</t>
        </is>
      </c>
      <c r="R121" s="144" t="inlineStr">
        <is>
          <t>69.6</t>
        </is>
      </c>
      <c r="S121" s="145" t="inlineStr">
        <is>
          <t>B-402-RPP-DC-4</t>
        </is>
      </c>
      <c r="T121" s="72" t="n"/>
      <c r="U121" s="141">
        <f>R121*0.935</f>
        <v/>
      </c>
      <c r="V121" s="141">
        <f>U121/215</f>
        <v/>
      </c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148" t="n"/>
    </row>
    <row r="122" ht="14.15" customFormat="1" customHeight="1" s="10">
      <c r="A122" s="53" t="n"/>
      <c r="B122" s="53" t="n"/>
      <c r="C122" s="53" t="n"/>
      <c r="D122" s="53" t="n"/>
      <c r="E122" s="53" t="n"/>
      <c r="F122" s="46" t="n"/>
      <c r="G122" s="47" t="n"/>
      <c r="H122" s="53" t="n"/>
      <c r="I122" s="53" t="n"/>
      <c r="J122" s="53" t="n"/>
      <c r="K122" s="53" t="n"/>
      <c r="L122" s="53" t="n"/>
      <c r="M122" s="53" t="n"/>
      <c r="N122" s="53" t="n"/>
      <c r="O122" s="143" t="inlineStr">
        <is>
          <t>B-445-HVDC-231</t>
        </is>
      </c>
      <c r="P122" s="141" t="inlineStr">
        <is>
          <t>270.8</t>
        </is>
      </c>
      <c r="Q122" s="141" t="inlineStr">
        <is>
          <t>271.0</t>
        </is>
      </c>
      <c r="R122" s="144" t="inlineStr">
        <is>
          <t>80.7</t>
        </is>
      </c>
      <c r="S122" s="145" t="inlineStr">
        <is>
          <t>B-402-RPP-DC-6</t>
        </is>
      </c>
      <c r="T122" s="72" t="n"/>
      <c r="U122" s="141">
        <f>R122*0.935</f>
        <v/>
      </c>
      <c r="V122" s="141">
        <f>U122/215</f>
        <v/>
      </c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30" t="n"/>
      <c r="AF122" s="148" t="n"/>
    </row>
    <row r="123" ht="14.15" customFormat="1" customHeight="1" s="10">
      <c r="A123" s="53" t="n"/>
      <c r="B123" s="53" t="n"/>
      <c r="C123" s="53" t="n"/>
      <c r="D123" s="53" t="n"/>
      <c r="E123" s="53" t="n"/>
      <c r="F123" s="46" t="n"/>
      <c r="G123" s="47" t="n"/>
      <c r="H123" s="53" t="n"/>
      <c r="I123" s="53" t="n"/>
      <c r="J123" s="53" t="n"/>
      <c r="K123" s="53" t="n"/>
      <c r="L123" s="53" t="n"/>
      <c r="M123" s="53" t="n"/>
      <c r="N123" s="53" t="n"/>
      <c r="O123" s="143" t="inlineStr">
        <is>
          <t>B-445-HVDC-241</t>
        </is>
      </c>
      <c r="P123" s="141" t="inlineStr">
        <is>
          <t>270.6</t>
        </is>
      </c>
      <c r="Q123" s="141" t="inlineStr">
        <is>
          <t>270.6</t>
        </is>
      </c>
      <c r="R123" s="144" t="inlineStr">
        <is>
          <t>66.4</t>
        </is>
      </c>
      <c r="S123" s="145" t="inlineStr">
        <is>
          <t>B-402-RPP-DC-8</t>
        </is>
      </c>
      <c r="T123" s="72" t="n"/>
      <c r="U123" s="141">
        <f>R123*0.935</f>
        <v/>
      </c>
      <c r="V123" s="141">
        <f>U123/215</f>
        <v/>
      </c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141" t="inlineStr">
        <is>
          <t>9.26</t>
        </is>
      </c>
      <c r="AF123" s="148" t="n"/>
    </row>
    <row r="124" ht="14.15" customFormat="1" customHeight="1" s="10">
      <c r="A124" s="30" t="n"/>
      <c r="B124" s="30" t="n"/>
      <c r="C124" s="30" t="n"/>
      <c r="D124" s="30" t="n"/>
      <c r="E124" s="30" t="n"/>
      <c r="F124" s="93" t="n"/>
      <c r="G124" s="95" t="n"/>
      <c r="H124" s="30" t="n"/>
      <c r="I124" s="30" t="n"/>
      <c r="J124" s="30" t="n"/>
      <c r="K124" s="30" t="n"/>
      <c r="L124" s="30" t="n"/>
      <c r="M124" s="30" t="n"/>
      <c r="N124" s="30" t="n"/>
      <c r="O124" s="143" t="inlineStr">
        <is>
          <t>B-445-HVDC-251</t>
        </is>
      </c>
      <c r="P124" s="141" t="inlineStr">
        <is>
          <t>269.5</t>
        </is>
      </c>
      <c r="Q124" s="141" t="inlineStr">
        <is>
          <t>270.0</t>
        </is>
      </c>
      <c r="R124" s="144" t="inlineStr">
        <is>
          <t>74.5</t>
        </is>
      </c>
      <c r="S124" s="145" t="inlineStr">
        <is>
          <t>B-402-RPP-DC-10</t>
        </is>
      </c>
      <c r="T124" s="72" t="n"/>
      <c r="U124" s="141">
        <f>R124*0.935</f>
        <v/>
      </c>
      <c r="V124" s="141">
        <f>U124/215</f>
        <v/>
      </c>
      <c r="W124" s="30" t="n"/>
      <c r="X124" s="30" t="n"/>
      <c r="Y124" s="30" t="n"/>
      <c r="Z124" s="30" t="n"/>
      <c r="AA124" s="30" t="n"/>
      <c r="AB124" s="30" t="n"/>
      <c r="AC124" s="30" t="n"/>
      <c r="AD124" s="30" t="n"/>
      <c r="AE124" s="30" t="n"/>
      <c r="AF124" s="148" t="n"/>
    </row>
    <row r="125" ht="14.15" customFormat="1" customHeight="1" s="10">
      <c r="A125" s="141" t="inlineStr">
        <is>
          <t>M6</t>
        </is>
      </c>
      <c r="B125" s="141" t="inlineStr">
        <is>
          <t>B-417-TR201</t>
        </is>
      </c>
      <c r="C125" s="141" t="inlineStr">
        <is>
          <t>正常</t>
        </is>
      </c>
      <c r="D125" s="141" t="n"/>
      <c r="E125" s="141" t="inlineStr">
        <is>
          <t>884.0</t>
        </is>
      </c>
      <c r="F125" s="141">
        <f>E125/2500</f>
        <v/>
      </c>
      <c r="G125" s="92" t="n"/>
      <c r="H125" s="142" t="inlineStr">
        <is>
          <t>自投自复</t>
        </is>
      </c>
      <c r="I125" s="142" t="inlineStr">
        <is>
          <t>B-417-UPS-101</t>
        </is>
      </c>
      <c r="J125" s="141" t="inlineStr">
        <is>
          <t>30.5</t>
        </is>
      </c>
      <c r="K125" s="141">
        <f>J125/300</f>
        <v/>
      </c>
      <c r="L125" s="141" t="inlineStr">
        <is>
          <t>正常</t>
        </is>
      </c>
      <c r="M125" s="141" t="inlineStr">
        <is>
          <t>273.4</t>
        </is>
      </c>
      <c r="N125" s="141" t="inlineStr">
        <is>
          <t>221.0</t>
        </is>
      </c>
      <c r="O125" s="143" t="inlineStr">
        <is>
          <t>B-417-HVDC-111</t>
        </is>
      </c>
      <c r="P125" s="141" t="inlineStr">
        <is>
          <t>269.8</t>
        </is>
      </c>
      <c r="Q125" s="141" t="inlineStr">
        <is>
          <t>269.8</t>
        </is>
      </c>
      <c r="R125" s="144" t="inlineStr">
        <is>
          <t>100.5</t>
        </is>
      </c>
      <c r="S125" s="145" t="inlineStr">
        <is>
          <t>B-401-RPP-DC-1</t>
        </is>
      </c>
      <c r="T125" s="72" t="n"/>
      <c r="U125" s="141">
        <f>R125*0.935</f>
        <v/>
      </c>
      <c r="V125" s="141">
        <f>U125/215</f>
        <v/>
      </c>
      <c r="W125" s="142" t="n">
        <v>401</v>
      </c>
      <c r="X125" s="141">
        <f>SUM(U125:U134)</f>
        <v/>
      </c>
      <c r="Y125" s="141">
        <f>X125/2150</f>
        <v/>
      </c>
      <c r="Z125" s="141" t="n">
        <v>170</v>
      </c>
      <c r="AA125" s="146" t="n">
        <v>170</v>
      </c>
      <c r="AB125" s="141">
        <f>125/Z125</f>
        <v/>
      </c>
      <c r="AC125" s="141" t="n">
        <v>20</v>
      </c>
      <c r="AD125" s="141" t="n">
        <v>0</v>
      </c>
      <c r="AE125" s="141" t="inlineStr">
        <is>
          <t>南侧</t>
        </is>
      </c>
      <c r="AF125" s="148" t="n"/>
    </row>
    <row r="126" ht="14.15" customFormat="1" customHeight="1" s="10">
      <c r="A126" s="53" t="n"/>
      <c r="B126" s="53" t="n"/>
      <c r="C126" s="53" t="n"/>
      <c r="D126" s="53" t="n"/>
      <c r="E126" s="53" t="n"/>
      <c r="F126" s="46" t="n"/>
      <c r="G126" s="47" t="n"/>
      <c r="H126" s="53" t="n"/>
      <c r="I126" s="53" t="n"/>
      <c r="J126" s="53" t="n"/>
      <c r="K126" s="53" t="n"/>
      <c r="L126" s="53" t="n"/>
      <c r="M126" s="53" t="n"/>
      <c r="N126" s="53" t="n"/>
      <c r="O126" s="143" t="inlineStr">
        <is>
          <t>B-417-HVDC-121</t>
        </is>
      </c>
      <c r="P126" s="141" t="inlineStr">
        <is>
          <t>269.7</t>
        </is>
      </c>
      <c r="Q126" s="141" t="inlineStr">
        <is>
          <t>269.5</t>
        </is>
      </c>
      <c r="R126" s="144" t="inlineStr">
        <is>
          <t>91.7</t>
        </is>
      </c>
      <c r="S126" s="145" t="inlineStr">
        <is>
          <t>B-401-RPP-DC-3</t>
        </is>
      </c>
      <c r="T126" s="72" t="n"/>
      <c r="U126" s="141">
        <f>R126*0.935</f>
        <v/>
      </c>
      <c r="V126" s="141">
        <f>U126/215</f>
        <v/>
      </c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148" t="n"/>
    </row>
    <row r="127" ht="14.15" customFormat="1" customHeight="1" s="10">
      <c r="A127" s="53" t="n"/>
      <c r="B127" s="53" t="n"/>
      <c r="C127" s="53" t="n"/>
      <c r="D127" s="53" t="n"/>
      <c r="E127" s="53" t="n"/>
      <c r="F127" s="46" t="n"/>
      <c r="G127" s="47" t="n"/>
      <c r="H127" s="53" t="n"/>
      <c r="I127" s="53" t="n"/>
      <c r="J127" s="53" t="n"/>
      <c r="K127" s="53" t="n"/>
      <c r="L127" s="53" t="n"/>
      <c r="M127" s="53" t="n"/>
      <c r="N127" s="53" t="n"/>
      <c r="O127" s="143" t="inlineStr">
        <is>
          <t>B-417-HVDC-131</t>
        </is>
      </c>
      <c r="P127" s="141" t="inlineStr">
        <is>
          <t>270.6</t>
        </is>
      </c>
      <c r="Q127" s="141" t="inlineStr">
        <is>
          <t>270.9</t>
        </is>
      </c>
      <c r="R127" s="144" t="inlineStr">
        <is>
          <t>89.6</t>
        </is>
      </c>
      <c r="S127" s="145" t="inlineStr">
        <is>
          <t>B-401-RPP-DC-5</t>
        </is>
      </c>
      <c r="T127" s="72" t="n"/>
      <c r="U127" s="141">
        <f>R127*0.935</f>
        <v/>
      </c>
      <c r="V127" s="141">
        <f>U127/215</f>
        <v/>
      </c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30" t="n"/>
      <c r="AF127" s="148" t="n"/>
    </row>
    <row r="128" ht="14.15" customFormat="1" customHeight="1" s="10">
      <c r="A128" s="53" t="n"/>
      <c r="B128" s="53" t="n"/>
      <c r="C128" s="53" t="n"/>
      <c r="D128" s="53" t="n"/>
      <c r="E128" s="53" t="n"/>
      <c r="F128" s="46" t="n"/>
      <c r="G128" s="47" t="n"/>
      <c r="H128" s="53" t="n"/>
      <c r="I128" s="53" t="n"/>
      <c r="J128" s="53" t="n"/>
      <c r="K128" s="53" t="n"/>
      <c r="L128" s="53" t="n"/>
      <c r="M128" s="53" t="n"/>
      <c r="N128" s="53" t="n"/>
      <c r="O128" s="143" t="inlineStr">
        <is>
          <t>B-417-HVDC-141</t>
        </is>
      </c>
      <c r="P128" s="141" t="inlineStr">
        <is>
          <t>270.9</t>
        </is>
      </c>
      <c r="Q128" s="141" t="inlineStr">
        <is>
          <t>270.8</t>
        </is>
      </c>
      <c r="R128" s="144" t="inlineStr">
        <is>
          <t>102.6</t>
        </is>
      </c>
      <c r="S128" s="145" t="inlineStr">
        <is>
          <t>B-401-RPP-DC-7</t>
        </is>
      </c>
      <c r="T128" s="72" t="n"/>
      <c r="U128" s="141">
        <f>R128*0.935</f>
        <v/>
      </c>
      <c r="V128" s="141">
        <f>U128/215</f>
        <v/>
      </c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141" t="inlineStr">
        <is>
          <t>14.5</t>
        </is>
      </c>
      <c r="AF128" s="148" t="n"/>
    </row>
    <row r="129" ht="14.15" customFormat="1" customHeight="1" s="10">
      <c r="A129" s="53" t="n"/>
      <c r="B129" s="30" t="n"/>
      <c r="C129" s="30" t="n"/>
      <c r="D129" s="30" t="n"/>
      <c r="E129" s="30" t="n"/>
      <c r="F129" s="93" t="n"/>
      <c r="G129" s="95" t="n"/>
      <c r="H129" s="30" t="n"/>
      <c r="I129" s="53" t="n"/>
      <c r="J129" s="53" t="n"/>
      <c r="K129" s="53" t="n"/>
      <c r="L129" s="53" t="n"/>
      <c r="M129" s="53" t="n"/>
      <c r="N129" s="53" t="n"/>
      <c r="O129" s="143" t="inlineStr">
        <is>
          <t>B-417-HVDC-151</t>
        </is>
      </c>
      <c r="P129" s="141" t="inlineStr">
        <is>
          <t>271.1</t>
        </is>
      </c>
      <c r="Q129" s="141" t="inlineStr">
        <is>
          <t>271.2</t>
        </is>
      </c>
      <c r="R129" s="144" t="inlineStr">
        <is>
          <t>90.8</t>
        </is>
      </c>
      <c r="S129" s="145" t="inlineStr">
        <is>
          <t>B-401-RPP-DC-9</t>
        </is>
      </c>
      <c r="T129" s="72" t="n"/>
      <c r="U129" s="141">
        <f>R129*0.935</f>
        <v/>
      </c>
      <c r="V129" s="141">
        <f>U129/215</f>
        <v/>
      </c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30" t="n"/>
      <c r="AF129" s="148" t="n"/>
    </row>
    <row r="130" ht="14.15" customFormat="1" customHeight="1" s="10">
      <c r="A130" s="53" t="n"/>
      <c r="B130" s="141" t="inlineStr">
        <is>
          <t>B-417-TR202</t>
        </is>
      </c>
      <c r="C130" s="141" t="inlineStr">
        <is>
          <t>正常</t>
        </is>
      </c>
      <c r="D130" s="141" t="n"/>
      <c r="E130" s="141" t="inlineStr">
        <is>
          <t>846.0</t>
        </is>
      </c>
      <c r="F130" s="141">
        <f>E130/2500</f>
        <v/>
      </c>
      <c r="G130" s="92" t="n"/>
      <c r="H130" s="142" t="inlineStr">
        <is>
          <t>自投自复</t>
        </is>
      </c>
      <c r="I130" s="53" t="n"/>
      <c r="J130" s="53" t="n"/>
      <c r="K130" s="53" t="n"/>
      <c r="L130" s="53" t="n"/>
      <c r="M130" s="53" t="n"/>
      <c r="N130" s="53" t="n"/>
      <c r="O130" s="143" t="inlineStr">
        <is>
          <t>B-417-HVDC-211</t>
        </is>
      </c>
      <c r="P130" s="141" t="inlineStr">
        <is>
          <t>269.8</t>
        </is>
      </c>
      <c r="Q130" s="141" t="inlineStr">
        <is>
          <t>269.8</t>
        </is>
      </c>
      <c r="R130" s="144" t="inlineStr">
        <is>
          <t>66.7</t>
        </is>
      </c>
      <c r="S130" s="145" t="inlineStr">
        <is>
          <t>B-401-RPP-DC-2</t>
        </is>
      </c>
      <c r="T130" s="72" t="n"/>
      <c r="U130" s="141">
        <f>R130*0.935</f>
        <v/>
      </c>
      <c r="V130" s="141">
        <f>U130/215</f>
        <v/>
      </c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141" t="inlineStr">
        <is>
          <t>北侧</t>
        </is>
      </c>
      <c r="AF130" s="148" t="n"/>
    </row>
    <row r="131" ht="14.15" customFormat="1" customHeight="1" s="10">
      <c r="A131" s="53" t="n"/>
      <c r="B131" s="53" t="n"/>
      <c r="C131" s="53" t="n"/>
      <c r="D131" s="53" t="n"/>
      <c r="E131" s="53" t="n"/>
      <c r="F131" s="46" t="n"/>
      <c r="G131" s="47" t="n"/>
      <c r="H131" s="53" t="n"/>
      <c r="I131" s="53" t="n"/>
      <c r="J131" s="53" t="n"/>
      <c r="K131" s="53" t="n"/>
      <c r="L131" s="53" t="n"/>
      <c r="M131" s="53" t="n"/>
      <c r="N131" s="53" t="n"/>
      <c r="O131" s="143" t="inlineStr">
        <is>
          <t>B-417-HVDC-221</t>
        </is>
      </c>
      <c r="P131" s="141" t="inlineStr">
        <is>
          <t>271.0</t>
        </is>
      </c>
      <c r="Q131" s="141" t="inlineStr">
        <is>
          <t>269.9</t>
        </is>
      </c>
      <c r="R131" s="144" t="inlineStr">
        <is>
          <t>86.9</t>
        </is>
      </c>
      <c r="S131" s="145" t="inlineStr">
        <is>
          <t>B-401-RPP-DC-4</t>
        </is>
      </c>
      <c r="T131" s="72" t="n"/>
      <c r="U131" s="141">
        <f>R131*0.935</f>
        <v/>
      </c>
      <c r="V131" s="141">
        <f>U131/215</f>
        <v/>
      </c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148" t="n"/>
    </row>
    <row r="132" ht="14.15" customFormat="1" customHeight="1" s="10">
      <c r="A132" s="53" t="n"/>
      <c r="B132" s="53" t="n"/>
      <c r="C132" s="53" t="n"/>
      <c r="D132" s="53" t="n"/>
      <c r="E132" s="53" t="n"/>
      <c r="F132" s="46" t="n"/>
      <c r="G132" s="47" t="n"/>
      <c r="H132" s="53" t="n"/>
      <c r="I132" s="53" t="n"/>
      <c r="J132" s="53" t="n"/>
      <c r="K132" s="53" t="n"/>
      <c r="L132" s="53" t="n"/>
      <c r="M132" s="53" t="n"/>
      <c r="N132" s="53" t="n"/>
      <c r="O132" s="143" t="inlineStr">
        <is>
          <t>B-417-HVDC-231</t>
        </is>
      </c>
      <c r="P132" s="141" t="inlineStr">
        <is>
          <t>270.6</t>
        </is>
      </c>
      <c r="Q132" s="141" t="inlineStr">
        <is>
          <t>270.2</t>
        </is>
      </c>
      <c r="R132" s="144" t="inlineStr">
        <is>
          <t>79.7</t>
        </is>
      </c>
      <c r="S132" s="145" t="inlineStr">
        <is>
          <t>B-401-RPP-DC-6</t>
        </is>
      </c>
      <c r="T132" s="72" t="n"/>
      <c r="U132" s="141">
        <f>R132*0.935</f>
        <v/>
      </c>
      <c r="V132" s="141">
        <f>U132/215</f>
        <v/>
      </c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30" t="n"/>
      <c r="AF132" s="148" t="n"/>
    </row>
    <row r="133" ht="14.15" customFormat="1" customHeight="1" s="10">
      <c r="A133" s="53" t="n"/>
      <c r="B133" s="53" t="n"/>
      <c r="C133" s="53" t="n"/>
      <c r="D133" s="53" t="n"/>
      <c r="E133" s="53" t="n"/>
      <c r="F133" s="46" t="n"/>
      <c r="G133" s="47" t="n"/>
      <c r="H133" s="53" t="n"/>
      <c r="I133" s="53" t="n"/>
      <c r="J133" s="53" t="n"/>
      <c r="K133" s="53" t="n"/>
      <c r="L133" s="53" t="n"/>
      <c r="M133" s="53" t="n"/>
      <c r="N133" s="53" t="n"/>
      <c r="O133" s="143" t="inlineStr">
        <is>
          <t>B-417-HVDC-241</t>
        </is>
      </c>
      <c r="P133" s="141" t="inlineStr">
        <is>
          <t>269.8</t>
        </is>
      </c>
      <c r="Q133" s="141" t="inlineStr">
        <is>
          <t>269.4</t>
        </is>
      </c>
      <c r="R133" s="144" t="inlineStr">
        <is>
          <t>94.3</t>
        </is>
      </c>
      <c r="S133" s="145" t="inlineStr">
        <is>
          <t>B-401-RPP-DC-8</t>
        </is>
      </c>
      <c r="T133" s="72" t="n"/>
      <c r="U133" s="141">
        <f>R133*0.935</f>
        <v/>
      </c>
      <c r="V133" s="141">
        <f>U133/215</f>
        <v/>
      </c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141" t="inlineStr">
        <is>
          <t>14.05</t>
        </is>
      </c>
      <c r="AF133" s="148" t="n"/>
    </row>
    <row r="134" ht="14.15" customFormat="1" customHeight="1" s="10">
      <c r="A134" s="30" t="n"/>
      <c r="B134" s="30" t="n"/>
      <c r="C134" s="30" t="n"/>
      <c r="D134" s="30" t="n"/>
      <c r="E134" s="30" t="n"/>
      <c r="F134" s="93" t="n"/>
      <c r="G134" s="95" t="n"/>
      <c r="H134" s="30" t="n"/>
      <c r="I134" s="30" t="n"/>
      <c r="J134" s="30" t="n"/>
      <c r="K134" s="30" t="n"/>
      <c r="L134" s="30" t="n"/>
      <c r="M134" s="30" t="n"/>
      <c r="N134" s="30" t="n"/>
      <c r="O134" s="143" t="inlineStr">
        <is>
          <t>B-417-HVDC-251</t>
        </is>
      </c>
      <c r="P134" s="141" t="inlineStr">
        <is>
          <t>270.2</t>
        </is>
      </c>
      <c r="Q134" s="141" t="inlineStr">
        <is>
          <t>270.3</t>
        </is>
      </c>
      <c r="R134" s="144" t="inlineStr">
        <is>
          <t>87.7</t>
        </is>
      </c>
      <c r="S134" s="145" t="inlineStr">
        <is>
          <t>B-401-RPP-DC-10</t>
        </is>
      </c>
      <c r="T134" s="72" t="n"/>
      <c r="U134" s="141">
        <f>R134*0.935</f>
        <v/>
      </c>
      <c r="V134" s="141">
        <f>U134/215</f>
        <v/>
      </c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148" t="n"/>
    </row>
    <row r="135" ht="16.5" customFormat="1" customHeight="1" s="10">
      <c r="A135" s="141" t="inlineStr">
        <is>
          <t>P1</t>
        </is>
      </c>
      <c r="B135" s="141" t="inlineStr">
        <is>
          <t>B-144-TR101</t>
        </is>
      </c>
      <c r="C135" s="141" t="inlineStr">
        <is>
          <t>正常</t>
        </is>
      </c>
      <c r="D135" s="141" t="inlineStr">
        <is>
          <t>51.7</t>
        </is>
      </c>
      <c r="E135" s="141" t="inlineStr">
        <is>
          <t>253.0</t>
        </is>
      </c>
      <c r="F135" s="141">
        <f>E135/2500</f>
        <v/>
      </c>
      <c r="G135" s="92" t="n"/>
      <c r="H135" s="142" t="inlineStr">
        <is>
          <t>自投自复</t>
        </is>
      </c>
      <c r="I135" s="142" t="inlineStr">
        <is>
          <t>B-144-UPS-101</t>
        </is>
      </c>
      <c r="J135" s="153" t="inlineStr">
        <is>
          <t>4.9</t>
        </is>
      </c>
      <c r="K135" s="141">
        <f>J135/300</f>
        <v/>
      </c>
      <c r="L135" s="141" t="inlineStr">
        <is>
          <t>正常</t>
        </is>
      </c>
      <c r="M135" s="141" t="inlineStr">
        <is>
          <t>273.2</t>
        </is>
      </c>
      <c r="N135" s="141" t="inlineStr">
        <is>
          <t>221.0</t>
        </is>
      </c>
      <c r="O135" s="148" t="n"/>
      <c r="P135" s="148" t="n"/>
      <c r="Q135" s="148" t="n"/>
      <c r="R135" s="148" t="n"/>
      <c r="S135" s="148" t="n"/>
      <c r="T135" s="148" t="n"/>
      <c r="U135" s="148" t="n"/>
      <c r="V135" s="148" t="n"/>
      <c r="W135" s="148" t="n"/>
      <c r="X135" s="148" t="n"/>
      <c r="Y135" s="148" t="n"/>
      <c r="Z135" s="148" t="n"/>
      <c r="AA135" s="148" t="n"/>
      <c r="AB135" s="148" t="n"/>
      <c r="AC135" s="148" t="n"/>
      <c r="AD135" s="148" t="n"/>
      <c r="AE135" s="148" t="n"/>
      <c r="AF135" s="148" t="n"/>
    </row>
    <row r="136" ht="16.5" customFormat="1" customHeight="1" s="10">
      <c r="A136" s="53" t="n"/>
      <c r="B136" s="53" t="n"/>
      <c r="C136" s="53" t="n"/>
      <c r="D136" s="53" t="n"/>
      <c r="E136" s="53" t="n"/>
      <c r="F136" s="46" t="n"/>
      <c r="G136" s="47" t="n"/>
      <c r="H136" s="53" t="n"/>
      <c r="I136" s="53" t="n"/>
      <c r="J136" s="53" t="n"/>
      <c r="K136" s="53" t="n"/>
      <c r="L136" s="53" t="n"/>
      <c r="M136" s="53" t="n"/>
      <c r="N136" s="53" t="n"/>
      <c r="O136" s="148" t="n"/>
      <c r="P136" s="148" t="n"/>
      <c r="Q136" s="148" t="n"/>
      <c r="R136" s="148" t="n"/>
      <c r="S136" s="148" t="n"/>
      <c r="T136" s="148" t="n"/>
      <c r="U136" s="148" t="n"/>
      <c r="V136" s="148" t="n"/>
      <c r="W136" s="148" t="n"/>
      <c r="X136" s="148" t="n"/>
      <c r="Y136" s="148" t="n"/>
      <c r="Z136" s="148" t="n"/>
      <c r="AA136" s="148" t="n"/>
      <c r="AB136" s="148" t="n"/>
      <c r="AC136" s="148" t="n"/>
      <c r="AD136" s="148" t="n"/>
      <c r="AE136" s="148" t="n"/>
      <c r="AF136" s="148" t="n"/>
    </row>
    <row r="137" ht="16.5" customFormat="1" customHeight="1" s="10">
      <c r="A137" s="53" t="n"/>
      <c r="B137" s="53" t="n"/>
      <c r="C137" s="53" t="n"/>
      <c r="D137" s="53" t="n"/>
      <c r="E137" s="53" t="n"/>
      <c r="F137" s="46" t="n"/>
      <c r="G137" s="47" t="n"/>
      <c r="H137" s="53" t="n"/>
      <c r="I137" s="53" t="n"/>
      <c r="J137" s="53" t="n"/>
      <c r="K137" s="53" t="n"/>
      <c r="L137" s="53" t="n"/>
      <c r="M137" s="53" t="n"/>
      <c r="N137" s="53" t="n"/>
      <c r="O137" s="148" t="n"/>
      <c r="P137" s="148" t="n"/>
      <c r="Q137" s="148" t="n"/>
      <c r="R137" s="148" t="n"/>
      <c r="S137" s="148" t="n"/>
      <c r="T137" s="148" t="n"/>
      <c r="U137" s="148" t="n"/>
      <c r="V137" s="148" t="n"/>
      <c r="W137" s="148" t="n"/>
      <c r="X137" s="148" t="n"/>
      <c r="Y137" s="148" t="n"/>
      <c r="Z137" s="148" t="n"/>
      <c r="AA137" s="148" t="n"/>
      <c r="AB137" s="148" t="n"/>
      <c r="AC137" s="148" t="n"/>
      <c r="AD137" s="148" t="n"/>
      <c r="AE137" s="148" t="n"/>
      <c r="AF137" s="148" t="n"/>
    </row>
    <row r="138" ht="16.5" customFormat="1" customHeight="1" s="10">
      <c r="A138" s="53" t="n"/>
      <c r="B138" s="53" t="n"/>
      <c r="C138" s="53" t="n"/>
      <c r="D138" s="53" t="n"/>
      <c r="E138" s="53" t="n"/>
      <c r="F138" s="46" t="n"/>
      <c r="G138" s="47" t="n"/>
      <c r="H138" s="53" t="n"/>
      <c r="I138" s="53" t="n"/>
      <c r="J138" s="53" t="n"/>
      <c r="K138" s="53" t="n"/>
      <c r="L138" s="53" t="n"/>
      <c r="M138" s="53" t="n"/>
      <c r="N138" s="53" t="n"/>
      <c r="O138" s="148" t="n"/>
      <c r="P138" s="148" t="n"/>
      <c r="Q138" s="148" t="n"/>
      <c r="R138" s="148" t="n"/>
      <c r="S138" s="148" t="n"/>
      <c r="T138" s="148" t="n"/>
      <c r="U138" s="148" t="n"/>
      <c r="V138" s="148" t="n"/>
      <c r="W138" s="148" t="n"/>
      <c r="X138" s="148" t="n"/>
      <c r="Y138" s="148" t="n"/>
      <c r="Z138" s="148" t="n"/>
      <c r="AA138" s="148" t="n"/>
      <c r="AB138" s="148" t="n"/>
      <c r="AC138" s="148" t="n"/>
      <c r="AD138" s="148" t="n"/>
      <c r="AE138" s="148" t="n"/>
      <c r="AF138" s="148" t="n"/>
    </row>
    <row r="139" ht="16.5" customFormat="1" customHeight="1" s="10">
      <c r="A139" s="53" t="n"/>
      <c r="B139" s="30" t="n"/>
      <c r="C139" s="30" t="n"/>
      <c r="D139" s="30" t="n"/>
      <c r="E139" s="30" t="n"/>
      <c r="F139" s="93" t="n"/>
      <c r="G139" s="95" t="n"/>
      <c r="H139" s="30" t="n"/>
      <c r="I139" s="30" t="n"/>
      <c r="J139" s="30" t="n"/>
      <c r="K139" s="30" t="n"/>
      <c r="L139" s="53" t="n"/>
      <c r="M139" s="30" t="n"/>
      <c r="N139" s="30" t="n"/>
      <c r="O139" s="148" t="n"/>
      <c r="P139" s="148" t="n"/>
      <c r="Q139" s="148" t="n"/>
      <c r="R139" s="148" t="n"/>
      <c r="S139" s="148" t="n"/>
      <c r="T139" s="148" t="n"/>
      <c r="U139" s="148" t="n"/>
      <c r="V139" s="148" t="n"/>
      <c r="W139" s="148" t="n"/>
      <c r="X139" s="148" t="n"/>
      <c r="Y139" s="148" t="n"/>
      <c r="Z139" s="148" t="n"/>
      <c r="AA139" s="148" t="n"/>
      <c r="AB139" s="148" t="n"/>
      <c r="AC139" s="148" t="n"/>
      <c r="AD139" s="148" t="n"/>
      <c r="AE139" s="148" t="n"/>
      <c r="AF139" s="148" t="n"/>
    </row>
    <row r="140" ht="16.5" customFormat="1" customHeight="1" s="10">
      <c r="A140" s="53" t="n"/>
      <c r="B140" s="141" t="inlineStr">
        <is>
          <t>B-144-TR102</t>
        </is>
      </c>
      <c r="C140" s="141" t="inlineStr">
        <is>
          <t>正常</t>
        </is>
      </c>
      <c r="D140" s="141" t="inlineStr">
        <is>
          <t>51.9</t>
        </is>
      </c>
      <c r="E140" s="141" t="inlineStr">
        <is>
          <t>268.0</t>
        </is>
      </c>
      <c r="F140" s="141">
        <f>E140/2500</f>
        <v/>
      </c>
      <c r="G140" s="92" t="n"/>
      <c r="H140" s="142" t="inlineStr">
        <is>
          <t>自投自复</t>
        </is>
      </c>
      <c r="I140" s="142" t="inlineStr">
        <is>
          <t>B-144-UPS-201</t>
        </is>
      </c>
      <c r="J140" s="141" t="inlineStr">
        <is>
          <t>29.3</t>
        </is>
      </c>
      <c r="K140" s="141">
        <f>J140/400</f>
        <v/>
      </c>
      <c r="L140" s="53" t="n"/>
      <c r="M140" s="141" t="inlineStr">
        <is>
          <t>285.9</t>
        </is>
      </c>
      <c r="N140" s="141" t="inlineStr">
        <is>
          <t>221.3</t>
        </is>
      </c>
      <c r="O140" s="148" t="n"/>
      <c r="P140" s="148" t="n"/>
      <c r="Q140" s="148" t="n"/>
      <c r="R140" s="148" t="n"/>
      <c r="S140" s="148" t="n"/>
      <c r="T140" s="148" t="n"/>
      <c r="U140" s="148" t="n"/>
      <c r="V140" s="148" t="n"/>
      <c r="W140" s="148" t="n"/>
      <c r="X140" s="148" t="n"/>
      <c r="Y140" s="148" t="n"/>
      <c r="Z140" s="148" t="n"/>
      <c r="AA140" s="148" t="n"/>
      <c r="AB140" s="148" t="n"/>
      <c r="AC140" s="148" t="n"/>
      <c r="AD140" s="148" t="n"/>
      <c r="AE140" s="148" t="n"/>
      <c r="AF140" s="148" t="n"/>
    </row>
    <row r="141" ht="16.5" customFormat="1" customHeight="1" s="10">
      <c r="A141" s="53" t="n"/>
      <c r="B141" s="53" t="n"/>
      <c r="C141" s="53" t="n"/>
      <c r="D141" s="53" t="n"/>
      <c r="E141" s="53" t="n"/>
      <c r="F141" s="46" t="n"/>
      <c r="G141" s="47" t="n"/>
      <c r="H141" s="53" t="n"/>
      <c r="I141" s="53" t="n"/>
      <c r="J141" s="53" t="n"/>
      <c r="K141" s="53" t="n"/>
      <c r="L141" s="53" t="n"/>
      <c r="M141" s="53" t="n"/>
      <c r="N141" s="53" t="n"/>
      <c r="O141" s="148" t="n"/>
      <c r="P141" s="148" t="n"/>
      <c r="Q141" s="148" t="n"/>
      <c r="R141" s="148" t="n"/>
      <c r="S141" s="148" t="n"/>
      <c r="T141" s="148" t="n"/>
      <c r="U141" s="148" t="n"/>
      <c r="V141" s="148" t="n"/>
      <c r="W141" s="148" t="n"/>
      <c r="X141" s="148" t="n"/>
      <c r="Y141" s="148" t="n"/>
      <c r="Z141" s="148" t="n"/>
      <c r="AA141" s="148" t="n"/>
      <c r="AB141" s="148" t="n"/>
      <c r="AC141" s="148" t="n"/>
      <c r="AD141" s="148" t="n"/>
      <c r="AE141" s="148" t="n"/>
      <c r="AF141" s="148" t="n"/>
    </row>
    <row r="142" ht="16.5" customFormat="1" customHeight="1" s="10">
      <c r="A142" s="53" t="n"/>
      <c r="B142" s="53" t="n"/>
      <c r="C142" s="53" t="n"/>
      <c r="D142" s="53" t="n"/>
      <c r="E142" s="53" t="n"/>
      <c r="F142" s="46" t="n"/>
      <c r="G142" s="47" t="n"/>
      <c r="H142" s="53" t="n"/>
      <c r="I142" s="53" t="n"/>
      <c r="J142" s="53" t="n"/>
      <c r="K142" s="53" t="n"/>
      <c r="L142" s="53" t="n"/>
      <c r="M142" s="53" t="n"/>
      <c r="N142" s="53" t="n"/>
      <c r="O142" s="148" t="n"/>
      <c r="P142" s="148" t="n"/>
      <c r="Q142" s="148" t="n"/>
      <c r="R142" s="148" t="n"/>
      <c r="S142" s="148" t="n"/>
      <c r="T142" s="148" t="n"/>
      <c r="U142" s="148" t="n"/>
      <c r="V142" s="148" t="n"/>
      <c r="W142" s="148" t="n"/>
      <c r="X142" s="148" t="n"/>
      <c r="Y142" s="148" t="n"/>
      <c r="Z142" s="148" t="n"/>
      <c r="AA142" s="148" t="n"/>
      <c r="AB142" s="148" t="n"/>
      <c r="AC142" s="148" t="n"/>
      <c r="AD142" s="148" t="n"/>
      <c r="AE142" s="148" t="n"/>
      <c r="AF142" s="148" t="n"/>
    </row>
    <row r="143" ht="16.5" customFormat="1" customHeight="1" s="10">
      <c r="A143" s="53" t="n"/>
      <c r="B143" s="53" t="n"/>
      <c r="C143" s="53" t="n"/>
      <c r="D143" s="53" t="n"/>
      <c r="E143" s="53" t="n"/>
      <c r="F143" s="46" t="n"/>
      <c r="G143" s="47" t="n"/>
      <c r="H143" s="53" t="n"/>
      <c r="I143" s="53" t="n"/>
      <c r="J143" s="53" t="n"/>
      <c r="K143" s="53" t="n"/>
      <c r="L143" s="53" t="n"/>
      <c r="M143" s="53" t="n"/>
      <c r="N143" s="53" t="n"/>
      <c r="O143" s="148" t="n"/>
      <c r="P143" s="148" t="n"/>
      <c r="Q143" s="148" t="n"/>
      <c r="R143" s="148" t="n"/>
      <c r="S143" s="148" t="n"/>
      <c r="T143" s="148" t="n"/>
      <c r="U143" s="148" t="n"/>
      <c r="V143" s="148" t="n"/>
      <c r="W143" s="148" t="n"/>
      <c r="X143" s="148" t="n"/>
      <c r="Y143" s="148" t="n"/>
      <c r="Z143" s="148" t="n"/>
      <c r="AA143" s="148" t="n"/>
      <c r="AB143" s="148" t="n"/>
      <c r="AC143" s="148" t="n"/>
      <c r="AD143" s="148" t="n"/>
      <c r="AE143" s="148" t="n"/>
      <c r="AF143" s="148" t="n"/>
    </row>
    <row r="144" ht="16.5" customFormat="1" customHeight="1" s="10">
      <c r="A144" s="30" t="n"/>
      <c r="B144" s="30" t="n"/>
      <c r="C144" s="30" t="n"/>
      <c r="D144" s="30" t="n"/>
      <c r="E144" s="30" t="n"/>
      <c r="F144" s="93" t="n"/>
      <c r="G144" s="95" t="n"/>
      <c r="H144" s="30" t="n"/>
      <c r="I144" s="30" t="n"/>
      <c r="J144" s="30" t="n"/>
      <c r="K144" s="30" t="n"/>
      <c r="L144" s="30" t="n"/>
      <c r="M144" s="30" t="n"/>
      <c r="N144" s="30" t="n"/>
      <c r="O144" s="148" t="n"/>
      <c r="P144" s="148" t="n"/>
      <c r="Q144" s="148" t="n"/>
      <c r="R144" s="148" t="n"/>
      <c r="S144" s="148" t="n"/>
      <c r="T144" s="148" t="n"/>
      <c r="U144" s="148" t="n"/>
      <c r="V144" s="148" t="n"/>
      <c r="W144" s="148" t="n"/>
      <c r="X144" s="148" t="n"/>
      <c r="Y144" s="148" t="n"/>
      <c r="Z144" s="148" t="n"/>
      <c r="AA144" s="148" t="n"/>
      <c r="AB144" s="148" t="n"/>
      <c r="AC144" s="148" t="n"/>
      <c r="AD144" s="148" t="n"/>
      <c r="AE144" s="148" t="n"/>
      <c r="AF144" s="148" t="n"/>
    </row>
    <row r="145" ht="16.5" customFormat="1" customHeight="1" s="10">
      <c r="A145" s="141" t="inlineStr">
        <is>
          <t>P2</t>
        </is>
      </c>
      <c r="B145" s="141" t="inlineStr">
        <is>
          <t>B-120-TR201</t>
        </is>
      </c>
      <c r="C145" s="141" t="inlineStr">
        <is>
          <t>正常</t>
        </is>
      </c>
      <c r="D145" s="141" t="inlineStr">
        <is>
          <t>47.5</t>
        </is>
      </c>
      <c r="E145" s="141" t="inlineStr">
        <is>
          <t>51.0</t>
        </is>
      </c>
      <c r="F145" s="141">
        <f>E145/2500</f>
        <v/>
      </c>
      <c r="G145" s="92" t="n"/>
      <c r="H145" s="142" t="inlineStr">
        <is>
          <t>自投自复</t>
        </is>
      </c>
      <c r="I145" s="142" t="inlineStr">
        <is>
          <t>B-120-UPS-101</t>
        </is>
      </c>
      <c r="J145" s="141" t="n"/>
      <c r="K145" s="141">
        <f>J145/300</f>
        <v/>
      </c>
      <c r="L145" s="141" t="inlineStr">
        <is>
          <t>正常</t>
        </is>
      </c>
      <c r="M145" s="141" t="n"/>
      <c r="N145" s="141" t="n"/>
      <c r="O145" s="148" t="n"/>
      <c r="P145" s="148" t="n"/>
      <c r="Q145" s="148" t="n"/>
      <c r="R145" s="148" t="n"/>
      <c r="S145" s="148" t="n"/>
      <c r="T145" s="148" t="n"/>
      <c r="U145" s="148" t="n"/>
      <c r="V145" s="148" t="n"/>
      <c r="W145" s="148" t="n"/>
      <c r="X145" s="148" t="n"/>
      <c r="Y145" s="148" t="n"/>
      <c r="Z145" s="148" t="n"/>
      <c r="AA145" s="148" t="n"/>
      <c r="AB145" s="148" t="n"/>
      <c r="AC145" s="148" t="n"/>
      <c r="AD145" s="148" t="n"/>
      <c r="AE145" s="148" t="n"/>
      <c r="AF145" s="148" t="n"/>
    </row>
    <row r="146" ht="16.5" customFormat="1" customHeight="1" s="10">
      <c r="A146" s="53" t="n"/>
      <c r="B146" s="53" t="n"/>
      <c r="C146" s="53" t="n"/>
      <c r="D146" s="53" t="n"/>
      <c r="E146" s="53" t="n"/>
      <c r="F146" s="46" t="n"/>
      <c r="G146" s="47" t="n"/>
      <c r="H146" s="53" t="n"/>
      <c r="I146" s="53" t="n"/>
      <c r="J146" s="53" t="n"/>
      <c r="K146" s="53" t="n"/>
      <c r="L146" s="53" t="n"/>
      <c r="M146" s="53" t="n"/>
      <c r="N146" s="53" t="n"/>
      <c r="O146" s="148" t="n"/>
      <c r="P146" s="148" t="n"/>
      <c r="Q146" s="148" t="n"/>
      <c r="R146" s="148" t="n"/>
      <c r="S146" s="148" t="n"/>
      <c r="T146" s="148" t="n"/>
      <c r="U146" s="148" t="n"/>
      <c r="V146" s="148" t="n"/>
      <c r="W146" s="148" t="n"/>
      <c r="X146" s="148" t="n"/>
      <c r="Y146" s="148" t="n"/>
      <c r="Z146" s="148" t="n"/>
      <c r="AA146" s="148" t="n"/>
      <c r="AB146" s="148" t="n"/>
      <c r="AC146" s="148" t="n"/>
      <c r="AD146" s="148" t="n"/>
      <c r="AE146" s="148" t="n"/>
      <c r="AF146" s="148" t="n"/>
    </row>
    <row r="147" ht="16.5" customFormat="1" customHeight="1" s="10">
      <c r="A147" s="53" t="n"/>
      <c r="B147" s="53" t="n"/>
      <c r="C147" s="53" t="n"/>
      <c r="D147" s="53" t="n"/>
      <c r="E147" s="53" t="n"/>
      <c r="F147" s="46" t="n"/>
      <c r="G147" s="47" t="n"/>
      <c r="H147" s="53" t="n"/>
      <c r="I147" s="53" t="n"/>
      <c r="J147" s="53" t="n"/>
      <c r="K147" s="53" t="n"/>
      <c r="L147" s="53" t="n"/>
      <c r="M147" s="53" t="n"/>
      <c r="N147" s="53" t="n"/>
      <c r="O147" s="148" t="n"/>
      <c r="P147" s="148" t="n"/>
      <c r="Q147" s="148" t="n"/>
      <c r="R147" s="148" t="n"/>
      <c r="S147" s="148" t="n"/>
      <c r="T147" s="148" t="n"/>
      <c r="U147" s="148" t="n"/>
      <c r="V147" s="148" t="n"/>
      <c r="W147" s="148" t="n"/>
      <c r="X147" s="148" t="n"/>
      <c r="Y147" s="148" t="n"/>
      <c r="Z147" s="148" t="n"/>
      <c r="AA147" s="148" t="n"/>
      <c r="AB147" s="148" t="n"/>
      <c r="AC147" s="148" t="n"/>
      <c r="AD147" s="148" t="n"/>
      <c r="AE147" s="148" t="n"/>
      <c r="AF147" s="148" t="n"/>
    </row>
    <row r="148" ht="16.5" customFormat="1" customHeight="1" s="10">
      <c r="A148" s="53" t="n"/>
      <c r="B148" s="53" t="n"/>
      <c r="C148" s="53" t="n"/>
      <c r="D148" s="53" t="n"/>
      <c r="E148" s="53" t="n"/>
      <c r="F148" s="46" t="n"/>
      <c r="G148" s="47" t="n"/>
      <c r="H148" s="53" t="n"/>
      <c r="I148" s="53" t="n"/>
      <c r="J148" s="53" t="n"/>
      <c r="K148" s="53" t="n"/>
      <c r="L148" s="53" t="n"/>
      <c r="M148" s="53" t="n"/>
      <c r="N148" s="53" t="n"/>
      <c r="O148" s="148" t="n"/>
      <c r="P148" s="148" t="n"/>
      <c r="Q148" s="148" t="n"/>
      <c r="R148" s="148" t="n"/>
      <c r="S148" s="148" t="n"/>
      <c r="T148" s="148" t="n"/>
      <c r="U148" s="148" t="n"/>
      <c r="V148" s="148" t="n"/>
      <c r="W148" s="148" t="n"/>
      <c r="X148" s="148" t="n"/>
      <c r="Y148" s="148" t="n"/>
      <c r="Z148" s="148" t="n"/>
      <c r="AA148" s="148" t="n"/>
      <c r="AB148" s="148" t="n"/>
      <c r="AC148" s="148" t="n"/>
      <c r="AD148" s="148" t="n"/>
      <c r="AE148" s="148" t="n"/>
      <c r="AF148" s="148" t="n"/>
    </row>
    <row r="149" ht="16.5" customFormat="1" customHeight="1" s="10">
      <c r="A149" s="53" t="n"/>
      <c r="B149" s="30" t="n"/>
      <c r="C149" s="30" t="n"/>
      <c r="D149" s="30" t="n"/>
      <c r="E149" s="30" t="n"/>
      <c r="F149" s="93" t="n"/>
      <c r="G149" s="95" t="n"/>
      <c r="H149" s="30" t="n"/>
      <c r="I149" s="30" t="n"/>
      <c r="J149" s="30" t="n"/>
      <c r="K149" s="30" t="n"/>
      <c r="L149" s="53" t="n"/>
      <c r="M149" s="30" t="n"/>
      <c r="N149" s="30" t="n"/>
      <c r="O149" s="148" t="n"/>
      <c r="P149" s="148" t="n"/>
      <c r="Q149" s="148" t="n"/>
      <c r="R149" s="148" t="n"/>
      <c r="S149" s="148" t="n"/>
      <c r="T149" s="148" t="n"/>
      <c r="U149" s="148" t="n"/>
      <c r="V149" s="148" t="n"/>
      <c r="W149" s="148" t="n"/>
      <c r="X149" s="148" t="n"/>
      <c r="Y149" s="148" t="n"/>
      <c r="Z149" s="148" t="n"/>
      <c r="AA149" s="148" t="n"/>
      <c r="AB149" s="148" t="n"/>
      <c r="AC149" s="148" t="n"/>
      <c r="AD149" s="148" t="n"/>
      <c r="AE149" s="148" t="n"/>
      <c r="AF149" s="148" t="n"/>
    </row>
    <row r="150" ht="16.5" customFormat="1" customHeight="1" s="10">
      <c r="A150" s="53" t="n"/>
      <c r="B150" s="141" t="inlineStr">
        <is>
          <t>B-120-TR202</t>
        </is>
      </c>
      <c r="C150" s="141" t="inlineStr">
        <is>
          <t>正常</t>
        </is>
      </c>
      <c r="D150" s="141" t="inlineStr">
        <is>
          <t>56.0</t>
        </is>
      </c>
      <c r="E150" s="141" t="inlineStr">
        <is>
          <t>449.0</t>
        </is>
      </c>
      <c r="F150" s="141">
        <f>E150/2500</f>
        <v/>
      </c>
      <c r="G150" s="92" t="n"/>
      <c r="H150" s="142" t="inlineStr">
        <is>
          <t>自投自复</t>
        </is>
      </c>
      <c r="I150" s="142" t="inlineStr">
        <is>
          <t>B-120-UPS-201</t>
        </is>
      </c>
      <c r="J150" s="141" t="n"/>
      <c r="K150" s="141">
        <f>J150/400</f>
        <v/>
      </c>
      <c r="L150" s="53" t="n"/>
      <c r="M150" s="141" t="n"/>
      <c r="N150" s="141" t="n"/>
      <c r="O150" s="148" t="n"/>
      <c r="P150" s="148" t="n"/>
      <c r="Q150" s="148" t="n"/>
      <c r="R150" s="148" t="n"/>
      <c r="S150" s="148" t="n"/>
      <c r="T150" s="148" t="n"/>
      <c r="U150" s="148" t="n"/>
      <c r="V150" s="148" t="n"/>
      <c r="W150" s="148" t="n"/>
      <c r="X150" s="148" t="n"/>
      <c r="Y150" s="148" t="n"/>
      <c r="Z150" s="148" t="n"/>
      <c r="AA150" s="148" t="n"/>
      <c r="AB150" s="148" t="n"/>
      <c r="AC150" s="148" t="n"/>
      <c r="AD150" s="148" t="n"/>
      <c r="AE150" s="148" t="n"/>
      <c r="AF150" s="148" t="n"/>
    </row>
    <row r="151" ht="16.5" customFormat="1" customHeight="1" s="10">
      <c r="A151" s="53" t="n"/>
      <c r="B151" s="53" t="n"/>
      <c r="C151" s="53" t="n"/>
      <c r="D151" s="53" t="n"/>
      <c r="E151" s="53" t="n"/>
      <c r="F151" s="46" t="n"/>
      <c r="G151" s="47" t="n"/>
      <c r="H151" s="53" t="n"/>
      <c r="I151" s="53" t="n"/>
      <c r="J151" s="53" t="n"/>
      <c r="K151" s="53" t="n"/>
      <c r="L151" s="53" t="n"/>
      <c r="M151" s="53" t="n"/>
      <c r="N151" s="53" t="n"/>
      <c r="O151" s="148" t="n"/>
      <c r="P151" s="148" t="n"/>
      <c r="Q151" s="148" t="n"/>
      <c r="R151" s="148" t="n"/>
      <c r="S151" s="148" t="n"/>
      <c r="T151" s="148" t="n"/>
      <c r="U151" s="148" t="n"/>
      <c r="V151" s="148" t="n"/>
      <c r="W151" s="148" t="n"/>
      <c r="X151" s="148" t="n"/>
      <c r="Y151" s="148" t="n"/>
      <c r="Z151" s="148" t="n"/>
      <c r="AA151" s="148" t="n"/>
      <c r="AB151" s="148" t="n"/>
      <c r="AC151" s="148" t="n"/>
      <c r="AD151" s="148" t="n"/>
      <c r="AE151" s="148" t="n"/>
      <c r="AF151" s="148" t="n"/>
    </row>
    <row r="152" ht="16.5" customFormat="1" customHeight="1" s="10">
      <c r="A152" s="53" t="n"/>
      <c r="B152" s="53" t="n"/>
      <c r="C152" s="53" t="n"/>
      <c r="D152" s="53" t="n"/>
      <c r="E152" s="53" t="n"/>
      <c r="F152" s="46" t="n"/>
      <c r="G152" s="47" t="n"/>
      <c r="H152" s="53" t="n"/>
      <c r="I152" s="53" t="n"/>
      <c r="J152" s="53" t="n"/>
      <c r="K152" s="53" t="n"/>
      <c r="L152" s="53" t="n"/>
      <c r="M152" s="53" t="n"/>
      <c r="N152" s="53" t="n"/>
      <c r="O152" s="148" t="n"/>
      <c r="P152" s="148" t="n"/>
      <c r="Q152" s="148" t="n"/>
      <c r="R152" s="148" t="n"/>
      <c r="S152" s="148" t="n"/>
      <c r="T152" s="148" t="n"/>
      <c r="U152" s="148" t="n"/>
      <c r="V152" s="148" t="n"/>
      <c r="W152" s="148" t="n"/>
      <c r="X152" s="148" t="n"/>
      <c r="Y152" s="148" t="n"/>
      <c r="Z152" s="148" t="n"/>
      <c r="AA152" s="148" t="n"/>
      <c r="AB152" s="148" t="n"/>
      <c r="AC152" s="148" t="n"/>
      <c r="AD152" s="148" t="n"/>
      <c r="AE152" s="148" t="n"/>
      <c r="AF152" s="148" t="n"/>
    </row>
    <row r="153" ht="16.5" customFormat="1" customHeight="1" s="10">
      <c r="A153" s="53" t="n"/>
      <c r="B153" s="53" t="n"/>
      <c r="C153" s="53" t="n"/>
      <c r="D153" s="53" t="n"/>
      <c r="E153" s="53" t="n"/>
      <c r="F153" s="46" t="n"/>
      <c r="G153" s="47" t="n"/>
      <c r="H153" s="53" t="n"/>
      <c r="I153" s="53" t="n"/>
      <c r="J153" s="53" t="n"/>
      <c r="K153" s="53" t="n"/>
      <c r="L153" s="53" t="n"/>
      <c r="M153" s="53" t="n"/>
      <c r="N153" s="53" t="n"/>
      <c r="O153" s="148" t="n"/>
      <c r="P153" s="148" t="n"/>
      <c r="Q153" s="148" t="n"/>
      <c r="R153" s="148" t="n"/>
      <c r="S153" s="148" t="n"/>
      <c r="T153" s="148" t="n"/>
      <c r="U153" s="148" t="n"/>
      <c r="V153" s="148" t="n"/>
      <c r="W153" s="148" t="n"/>
      <c r="X153" s="148" t="n"/>
      <c r="Y153" s="148" t="n"/>
      <c r="Z153" s="148" t="n"/>
      <c r="AA153" s="148" t="n"/>
      <c r="AB153" s="148" t="n"/>
      <c r="AC153" s="148" t="n"/>
      <c r="AD153" s="148" t="n"/>
      <c r="AE153" s="148" t="n"/>
      <c r="AF153" s="148" t="n"/>
    </row>
    <row r="154" ht="16.5" customFormat="1" customHeight="1" s="10">
      <c r="A154" s="30" t="n"/>
      <c r="B154" s="30" t="n"/>
      <c r="C154" s="30" t="n"/>
      <c r="D154" s="30" t="n"/>
      <c r="E154" s="30" t="n"/>
      <c r="F154" s="93" t="n"/>
      <c r="G154" s="95" t="n"/>
      <c r="H154" s="30" t="n"/>
      <c r="I154" s="30" t="n"/>
      <c r="J154" s="30" t="n"/>
      <c r="K154" s="30" t="n"/>
      <c r="L154" s="30" t="n"/>
      <c r="M154" s="30" t="n"/>
      <c r="N154" s="30" t="n"/>
      <c r="O154" s="148" t="n"/>
      <c r="P154" s="148" t="n"/>
      <c r="Q154" s="148" t="n"/>
      <c r="R154" s="148" t="n"/>
      <c r="S154" s="148" t="n"/>
      <c r="T154" s="148" t="n"/>
      <c r="U154" s="148" t="n"/>
      <c r="V154" s="148" t="n"/>
      <c r="W154" s="148" t="n"/>
      <c r="X154" s="148" t="n"/>
      <c r="Y154" s="148" t="n"/>
      <c r="Z154" s="148" t="n"/>
      <c r="AA154" s="148" t="n"/>
      <c r="AB154" s="148" t="n"/>
      <c r="AC154" s="148" t="n"/>
      <c r="AD154" s="148" t="n"/>
      <c r="AE154" s="148" t="n"/>
      <c r="AF154" s="148" t="n"/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</sheetData>
  <mergeCells count="652">
    <mergeCell ref="W67:W76"/>
    <mergeCell ref="S72:T72"/>
    <mergeCell ref="K26:K27"/>
    <mergeCell ref="W77:W86"/>
    <mergeCell ref="A51:B51"/>
    <mergeCell ref="Y77:Y86"/>
    <mergeCell ref="U13:W13"/>
    <mergeCell ref="P17:R17"/>
    <mergeCell ref="AA125:AA134"/>
    <mergeCell ref="C21:N21"/>
    <mergeCell ref="J11:L11"/>
    <mergeCell ref="J9:K9"/>
    <mergeCell ref="E101:E107"/>
    <mergeCell ref="V60:Z61"/>
    <mergeCell ref="X5:Z5"/>
    <mergeCell ref="C6:F6"/>
    <mergeCell ref="K24:N24"/>
    <mergeCell ref="Y57:Z58"/>
    <mergeCell ref="C10:AE10"/>
    <mergeCell ref="AD40:AE40"/>
    <mergeCell ref="G9:I9"/>
    <mergeCell ref="F125:G129"/>
    <mergeCell ref="AC67:AC76"/>
    <mergeCell ref="B150:B154"/>
    <mergeCell ref="F101:G107"/>
    <mergeCell ref="S83:T83"/>
    <mergeCell ref="A62:B62"/>
    <mergeCell ref="E82:E86"/>
    <mergeCell ref="F94:G100"/>
    <mergeCell ref="AC26:AE27"/>
    <mergeCell ref="I87:I100"/>
    <mergeCell ref="S85:T85"/>
    <mergeCell ref="H108:H114"/>
    <mergeCell ref="F120:G124"/>
    <mergeCell ref="I30:J30"/>
    <mergeCell ref="G59:H59"/>
    <mergeCell ref="G7:O7"/>
    <mergeCell ref="C17:F17"/>
    <mergeCell ref="C5:D5"/>
    <mergeCell ref="E5:F5"/>
    <mergeCell ref="C44:N44"/>
    <mergeCell ref="L77:L86"/>
    <mergeCell ref="AB60:AB61"/>
    <mergeCell ref="G61:H61"/>
    <mergeCell ref="D130:D134"/>
    <mergeCell ref="E48:F48"/>
    <mergeCell ref="I61:J61"/>
    <mergeCell ref="M6:O6"/>
    <mergeCell ref="A61:B61"/>
    <mergeCell ref="AB35:AC35"/>
    <mergeCell ref="G48:H48"/>
    <mergeCell ref="AD35:AE35"/>
    <mergeCell ref="A55:L55"/>
    <mergeCell ref="N125:N134"/>
    <mergeCell ref="AD59:AE59"/>
    <mergeCell ref="U17:Y17"/>
    <mergeCell ref="A77:A86"/>
    <mergeCell ref="AD34:AE34"/>
    <mergeCell ref="I41:J41"/>
    <mergeCell ref="S38:T38"/>
    <mergeCell ref="D82:D86"/>
    <mergeCell ref="I5:W5"/>
    <mergeCell ref="G62:H62"/>
    <mergeCell ref="P36:P37"/>
    <mergeCell ref="R36:R37"/>
    <mergeCell ref="S13:T13"/>
    <mergeCell ref="U6:X6"/>
    <mergeCell ref="I56:J56"/>
    <mergeCell ref="C14:F14"/>
    <mergeCell ref="F66:G66"/>
    <mergeCell ref="M13:N13"/>
    <mergeCell ref="K56:L56"/>
    <mergeCell ref="S40:T40"/>
    <mergeCell ref="E72:E76"/>
    <mergeCell ref="S15:T15"/>
    <mergeCell ref="U26:U27"/>
    <mergeCell ref="B140:B144"/>
    <mergeCell ref="D140:D144"/>
    <mergeCell ref="E24:G24"/>
    <mergeCell ref="J14:L14"/>
    <mergeCell ref="A52:B52"/>
    <mergeCell ref="B77:B81"/>
    <mergeCell ref="D26:D27"/>
    <mergeCell ref="I59:J59"/>
    <mergeCell ref="B101:B107"/>
    <mergeCell ref="D101:D107"/>
    <mergeCell ref="AC115:AC124"/>
    <mergeCell ref="S91:T91"/>
    <mergeCell ref="A101:A114"/>
    <mergeCell ref="D135:D139"/>
    <mergeCell ref="E77:E81"/>
    <mergeCell ref="S93:T93"/>
    <mergeCell ref="H94:H100"/>
    <mergeCell ref="J115:J124"/>
    <mergeCell ref="H120:H124"/>
    <mergeCell ref="AC25:AE25"/>
    <mergeCell ref="S86:T86"/>
    <mergeCell ref="AD56:AE57"/>
    <mergeCell ref="S122:T122"/>
    <mergeCell ref="S101:T101"/>
    <mergeCell ref="V59:Z59"/>
    <mergeCell ref="Y87:Y100"/>
    <mergeCell ref="S28:T28"/>
    <mergeCell ref="AA36:AA37"/>
    <mergeCell ref="C36:C37"/>
    <mergeCell ref="R26:R27"/>
    <mergeCell ref="J26:J27"/>
    <mergeCell ref="L26:L27"/>
    <mergeCell ref="I62:J62"/>
    <mergeCell ref="X125:X134"/>
    <mergeCell ref="Z125:Z134"/>
    <mergeCell ref="AE125:AE127"/>
    <mergeCell ref="L2:N2"/>
    <mergeCell ref="D77:D81"/>
    <mergeCell ref="I67:I76"/>
    <mergeCell ref="K67:K76"/>
    <mergeCell ref="S104:T104"/>
    <mergeCell ref="K77:K86"/>
    <mergeCell ref="K57:L57"/>
    <mergeCell ref="H16:K16"/>
    <mergeCell ref="V57:X58"/>
    <mergeCell ref="D23:N23"/>
    <mergeCell ref="P45:Q45"/>
    <mergeCell ref="S106:T106"/>
    <mergeCell ref="U35:V35"/>
    <mergeCell ref="M125:M134"/>
    <mergeCell ref="X36:X37"/>
    <mergeCell ref="Z36:Z37"/>
    <mergeCell ref="AD39:AE39"/>
    <mergeCell ref="A60:B60"/>
    <mergeCell ref="S105:T105"/>
    <mergeCell ref="U15:Y15"/>
    <mergeCell ref="N87:N100"/>
    <mergeCell ref="AD67:AD76"/>
    <mergeCell ref="S130:T130"/>
    <mergeCell ref="V31:W31"/>
    <mergeCell ref="S132:T132"/>
    <mergeCell ref="B72:B76"/>
    <mergeCell ref="E25:G25"/>
    <mergeCell ref="A50:B50"/>
    <mergeCell ref="F38:G38"/>
    <mergeCell ref="N135:N139"/>
    <mergeCell ref="E36:E37"/>
    <mergeCell ref="G14:H14"/>
    <mergeCell ref="Z115:Z124"/>
    <mergeCell ref="AE115:AE117"/>
    <mergeCell ref="AE133:AE134"/>
    <mergeCell ref="C101:C107"/>
    <mergeCell ref="L16:N16"/>
    <mergeCell ref="C52:AE52"/>
    <mergeCell ref="AE77:AE79"/>
    <mergeCell ref="S29:T29"/>
    <mergeCell ref="AB77:AB86"/>
    <mergeCell ref="AC28:AE28"/>
    <mergeCell ref="AD77:AD86"/>
    <mergeCell ref="S94:T94"/>
    <mergeCell ref="AE85:AE86"/>
    <mergeCell ref="I150:I154"/>
    <mergeCell ref="J8:K8"/>
    <mergeCell ref="R34:T34"/>
    <mergeCell ref="A3:AE3"/>
    <mergeCell ref="S31:T31"/>
    <mergeCell ref="H35:I35"/>
    <mergeCell ref="C47:N47"/>
    <mergeCell ref="Z26:Z27"/>
    <mergeCell ref="S125:T125"/>
    <mergeCell ref="AB101:AB114"/>
    <mergeCell ref="F29:G29"/>
    <mergeCell ref="AD101:AD114"/>
    <mergeCell ref="I77:I86"/>
    <mergeCell ref="D36:D37"/>
    <mergeCell ref="I26:I27"/>
    <mergeCell ref="S120:T120"/>
    <mergeCell ref="C63:D63"/>
    <mergeCell ref="C140:C144"/>
    <mergeCell ref="H87:H93"/>
    <mergeCell ref="P46:Q46"/>
    <mergeCell ref="E63:F63"/>
    <mergeCell ref="S107:T107"/>
    <mergeCell ref="C125:C129"/>
    <mergeCell ref="AA77:AA86"/>
    <mergeCell ref="C77:C81"/>
    <mergeCell ref="I58:J58"/>
    <mergeCell ref="K58:L58"/>
    <mergeCell ref="C50:AE50"/>
    <mergeCell ref="AB115:AB124"/>
    <mergeCell ref="J77:J86"/>
    <mergeCell ref="E135:E139"/>
    <mergeCell ref="M45:N45"/>
    <mergeCell ref="S8:AE8"/>
    <mergeCell ref="AB38:AC38"/>
    <mergeCell ref="I101:I114"/>
    <mergeCell ref="I145:I149"/>
    <mergeCell ref="Y36:Y37"/>
    <mergeCell ref="F150:G154"/>
    <mergeCell ref="X87:X100"/>
    <mergeCell ref="E35:G35"/>
    <mergeCell ref="D42:N42"/>
    <mergeCell ref="G22:H22"/>
    <mergeCell ref="C130:C134"/>
    <mergeCell ref="D150:D154"/>
    <mergeCell ref="S75:T75"/>
    <mergeCell ref="R24:T24"/>
    <mergeCell ref="K140:K144"/>
    <mergeCell ref="S110:T110"/>
    <mergeCell ref="L18:N18"/>
    <mergeCell ref="S12:T12"/>
    <mergeCell ref="C45:D45"/>
    <mergeCell ref="V48:W48"/>
    <mergeCell ref="M87:M100"/>
    <mergeCell ref="C72:C76"/>
    <mergeCell ref="AC29:AE29"/>
    <mergeCell ref="S39:T39"/>
    <mergeCell ref="E125:E129"/>
    <mergeCell ref="S70:T70"/>
    <mergeCell ref="H34:I34"/>
    <mergeCell ref="M135:M139"/>
    <mergeCell ref="L125:L134"/>
    <mergeCell ref="Z22:AA22"/>
    <mergeCell ref="Y115:Y124"/>
    <mergeCell ref="S128:T128"/>
    <mergeCell ref="W125:W134"/>
    <mergeCell ref="AA101:AA114"/>
    <mergeCell ref="AC101:AC114"/>
    <mergeCell ref="A135:A144"/>
    <mergeCell ref="A10:B10"/>
    <mergeCell ref="S129:T129"/>
    <mergeCell ref="S123:T123"/>
    <mergeCell ref="C94:C100"/>
    <mergeCell ref="M140:M144"/>
    <mergeCell ref="E94:E100"/>
    <mergeCell ref="Z46:AA46"/>
    <mergeCell ref="AD4:AE4"/>
    <mergeCell ref="C120:C124"/>
    <mergeCell ref="U2:W2"/>
    <mergeCell ref="E87:E93"/>
    <mergeCell ref="C53:AE53"/>
    <mergeCell ref="X48:Y48"/>
    <mergeCell ref="AD33:AE33"/>
    <mergeCell ref="E34:G34"/>
    <mergeCell ref="L135:L144"/>
    <mergeCell ref="S60:U61"/>
    <mergeCell ref="AA67:AA76"/>
    <mergeCell ref="C67:C71"/>
    <mergeCell ref="W45:X45"/>
    <mergeCell ref="P7:R7"/>
    <mergeCell ref="A67:A76"/>
    <mergeCell ref="AA115:AA124"/>
    <mergeCell ref="C82:C86"/>
    <mergeCell ref="A8:F8"/>
    <mergeCell ref="S14:T14"/>
    <mergeCell ref="H145:H149"/>
    <mergeCell ref="AC77:AC86"/>
    <mergeCell ref="W22:X22"/>
    <mergeCell ref="F87:G93"/>
    <mergeCell ref="C59:D59"/>
    <mergeCell ref="E59:F59"/>
    <mergeCell ref="S103:T103"/>
    <mergeCell ref="C46:D46"/>
    <mergeCell ref="S78:T78"/>
    <mergeCell ref="R2:T2"/>
    <mergeCell ref="A57:B57"/>
    <mergeCell ref="W87:W100"/>
    <mergeCell ref="C61:D61"/>
    <mergeCell ref="E61:F61"/>
    <mergeCell ref="B130:B134"/>
    <mergeCell ref="S80:T80"/>
    <mergeCell ref="E150:E154"/>
    <mergeCell ref="J140:J144"/>
    <mergeCell ref="F115:G119"/>
    <mergeCell ref="B67:B71"/>
    <mergeCell ref="AB34:AC34"/>
    <mergeCell ref="C12:F12"/>
    <mergeCell ref="F77:G81"/>
    <mergeCell ref="L36:L37"/>
    <mergeCell ref="N36:N37"/>
    <mergeCell ref="E56:F56"/>
    <mergeCell ref="G56:H56"/>
    <mergeCell ref="D125:D129"/>
    <mergeCell ref="AE112:AE114"/>
    <mergeCell ref="A11:B18"/>
    <mergeCell ref="Q26:Q27"/>
    <mergeCell ref="AB36:AC37"/>
    <mergeCell ref="K125:K134"/>
    <mergeCell ref="AD36:AE37"/>
    <mergeCell ref="AD23:AE23"/>
    <mergeCell ref="F40:G40"/>
    <mergeCell ref="Q33:AA33"/>
    <mergeCell ref="J67:J76"/>
    <mergeCell ref="L67:L76"/>
    <mergeCell ref="J145:J149"/>
    <mergeCell ref="P11:T11"/>
    <mergeCell ref="X4:Z4"/>
    <mergeCell ref="S66:T66"/>
    <mergeCell ref="E115:E119"/>
    <mergeCell ref="M36:M37"/>
    <mergeCell ref="B135:B139"/>
    <mergeCell ref="P15:R15"/>
    <mergeCell ref="S68:T68"/>
    <mergeCell ref="B94:B100"/>
    <mergeCell ref="N115:N124"/>
    <mergeCell ref="O60:R61"/>
    <mergeCell ref="W46:X46"/>
    <mergeCell ref="Q22:R22"/>
    <mergeCell ref="S84:T84"/>
    <mergeCell ref="D94:D100"/>
    <mergeCell ref="N150:N154"/>
    <mergeCell ref="B120:B124"/>
    <mergeCell ref="D120:D124"/>
    <mergeCell ref="G4:H4"/>
    <mergeCell ref="A87:A100"/>
    <mergeCell ref="Z67:Z76"/>
    <mergeCell ref="AE67:AE69"/>
    <mergeCell ref="I31:J31"/>
    <mergeCell ref="S79:T79"/>
    <mergeCell ref="V18:W18"/>
    <mergeCell ref="A58:B58"/>
    <mergeCell ref="AE101:AE104"/>
    <mergeCell ref="H26:H27"/>
    <mergeCell ref="J101:J114"/>
    <mergeCell ref="S119:T119"/>
    <mergeCell ref="C62:D62"/>
    <mergeCell ref="Y56:Z56"/>
    <mergeCell ref="B82:B86"/>
    <mergeCell ref="E62:F62"/>
    <mergeCell ref="H115:H119"/>
    <mergeCell ref="AB125:AB134"/>
    <mergeCell ref="S81:T81"/>
    <mergeCell ref="X11:Y11"/>
    <mergeCell ref="AD125:AD134"/>
    <mergeCell ref="AE94:AE97"/>
    <mergeCell ref="E108:E114"/>
    <mergeCell ref="H77:H81"/>
    <mergeCell ref="C13:F13"/>
    <mergeCell ref="D2:H2"/>
    <mergeCell ref="O56:Q56"/>
    <mergeCell ref="G57:H57"/>
    <mergeCell ref="J135:J139"/>
    <mergeCell ref="C15:F15"/>
    <mergeCell ref="J45:K45"/>
    <mergeCell ref="C7:E7"/>
    <mergeCell ref="V36:V37"/>
    <mergeCell ref="I4:W4"/>
    <mergeCell ref="AA26:AA27"/>
    <mergeCell ref="AB39:AC39"/>
    <mergeCell ref="F108:G114"/>
    <mergeCell ref="H67:H71"/>
    <mergeCell ref="G58:H58"/>
    <mergeCell ref="S99:T99"/>
    <mergeCell ref="S74:T74"/>
    <mergeCell ref="Q49:AA49"/>
    <mergeCell ref="A53:B53"/>
    <mergeCell ref="J87:J100"/>
    <mergeCell ref="S92:T92"/>
    <mergeCell ref="S30:T30"/>
    <mergeCell ref="L87:L100"/>
    <mergeCell ref="AB67:AB76"/>
    <mergeCell ref="A19:B19"/>
    <mergeCell ref="S76:T76"/>
    <mergeCell ref="P26:P27"/>
    <mergeCell ref="AE75:AE76"/>
    <mergeCell ref="AE82:AE84"/>
    <mergeCell ref="U11:W11"/>
    <mergeCell ref="G12:H12"/>
    <mergeCell ref="M115:M124"/>
    <mergeCell ref="X115:X124"/>
    <mergeCell ref="U12:W12"/>
    <mergeCell ref="P16:R16"/>
    <mergeCell ref="H18:K18"/>
    <mergeCell ref="H25:I25"/>
    <mergeCell ref="I57:J57"/>
    <mergeCell ref="K87:K100"/>
    <mergeCell ref="K63:L63"/>
    <mergeCell ref="P18:R18"/>
    <mergeCell ref="M150:M154"/>
    <mergeCell ref="S131:T131"/>
    <mergeCell ref="AE128:AE129"/>
    <mergeCell ref="S87:T87"/>
    <mergeCell ref="V26:V27"/>
    <mergeCell ref="X101:X114"/>
    <mergeCell ref="Z101:Z114"/>
    <mergeCell ref="H82:H86"/>
    <mergeCell ref="S97:T97"/>
    <mergeCell ref="AE72:AE74"/>
    <mergeCell ref="F31:G31"/>
    <mergeCell ref="X14:Y14"/>
    <mergeCell ref="U24:V24"/>
    <mergeCell ref="F28:G28"/>
    <mergeCell ref="S89:T89"/>
    <mergeCell ref="C20:AA20"/>
    <mergeCell ref="E26:E27"/>
    <mergeCell ref="X34:AA34"/>
    <mergeCell ref="AE80:AE81"/>
    <mergeCell ref="AD22:AE22"/>
    <mergeCell ref="F39:G39"/>
    <mergeCell ref="A54:AE54"/>
    <mergeCell ref="J46:K46"/>
    <mergeCell ref="H17:K17"/>
    <mergeCell ref="A63:B63"/>
    <mergeCell ref="D108:D114"/>
    <mergeCell ref="G8:I8"/>
    <mergeCell ref="P44:AA44"/>
    <mergeCell ref="G60:H60"/>
    <mergeCell ref="E58:F58"/>
    <mergeCell ref="I60:J60"/>
    <mergeCell ref="P6:R6"/>
    <mergeCell ref="S113:T113"/>
    <mergeCell ref="J6:L6"/>
    <mergeCell ref="S100:T100"/>
    <mergeCell ref="O57:Q58"/>
    <mergeCell ref="AD38:AE38"/>
    <mergeCell ref="S115:T115"/>
    <mergeCell ref="M9:N9"/>
    <mergeCell ref="C135:C139"/>
    <mergeCell ref="Q42:AA42"/>
    <mergeCell ref="S102:T102"/>
    <mergeCell ref="U36:U37"/>
    <mergeCell ref="X13:Y13"/>
    <mergeCell ref="S77:T77"/>
    <mergeCell ref="AB40:AC40"/>
    <mergeCell ref="C18:F18"/>
    <mergeCell ref="AB26:AB27"/>
    <mergeCell ref="M11:N11"/>
    <mergeCell ref="AB30:AE32"/>
    <mergeCell ref="G13:H13"/>
    <mergeCell ref="Y67:Y76"/>
    <mergeCell ref="I140:I144"/>
    <mergeCell ref="U14:W14"/>
    <mergeCell ref="M15:N15"/>
    <mergeCell ref="A20:B49"/>
    <mergeCell ref="M12:N12"/>
    <mergeCell ref="A4:A5"/>
    <mergeCell ref="AB2:AC2"/>
    <mergeCell ref="G15:H15"/>
    <mergeCell ref="A1:AE1"/>
    <mergeCell ref="L17:N17"/>
    <mergeCell ref="C51:AE51"/>
    <mergeCell ref="A65:AE65"/>
    <mergeCell ref="S95:T95"/>
    <mergeCell ref="AD60:AE61"/>
    <mergeCell ref="I135:I139"/>
    <mergeCell ref="K135:K139"/>
    <mergeCell ref="F130:G134"/>
    <mergeCell ref="O59:R59"/>
    <mergeCell ref="S88:T88"/>
    <mergeCell ref="J125:J134"/>
    <mergeCell ref="F140:G144"/>
    <mergeCell ref="AD55:AE55"/>
    <mergeCell ref="AE98:AE100"/>
    <mergeCell ref="F67:G71"/>
    <mergeCell ref="AC24:AE24"/>
    <mergeCell ref="F82:G86"/>
    <mergeCell ref="S90:T90"/>
    <mergeCell ref="W36:W37"/>
    <mergeCell ref="S126:T126"/>
    <mergeCell ref="T45:U45"/>
    <mergeCell ref="AD87:AD100"/>
    <mergeCell ref="A6:B6"/>
    <mergeCell ref="L145:L154"/>
    <mergeCell ref="S121:T121"/>
    <mergeCell ref="W26:W27"/>
    <mergeCell ref="W101:W114"/>
    <mergeCell ref="Y101:Y114"/>
    <mergeCell ref="P32:AA32"/>
    <mergeCell ref="U25:V25"/>
    <mergeCell ref="AC125:AC134"/>
    <mergeCell ref="J12:L12"/>
    <mergeCell ref="V40:W40"/>
    <mergeCell ref="P47:AA47"/>
    <mergeCell ref="O2:Q2"/>
    <mergeCell ref="F145:G149"/>
    <mergeCell ref="K59:L59"/>
    <mergeCell ref="S116:T116"/>
    <mergeCell ref="C87:C93"/>
    <mergeCell ref="N67:N76"/>
    <mergeCell ref="AE91:AE93"/>
    <mergeCell ref="M46:N46"/>
    <mergeCell ref="G5:H5"/>
    <mergeCell ref="N77:N86"/>
    <mergeCell ref="V56:X56"/>
    <mergeCell ref="K61:L61"/>
    <mergeCell ref="H130:H134"/>
    <mergeCell ref="S118:T118"/>
    <mergeCell ref="V41:W41"/>
    <mergeCell ref="I48:J48"/>
    <mergeCell ref="F135:G139"/>
    <mergeCell ref="K48:L48"/>
    <mergeCell ref="G11:I11"/>
    <mergeCell ref="S59:U59"/>
    <mergeCell ref="W115:W124"/>
    <mergeCell ref="H24:I24"/>
    <mergeCell ref="M14:N14"/>
    <mergeCell ref="X24:AA24"/>
    <mergeCell ref="B145:B149"/>
    <mergeCell ref="D145:D149"/>
    <mergeCell ref="K62:L62"/>
    <mergeCell ref="C43:AA43"/>
    <mergeCell ref="A125:A134"/>
    <mergeCell ref="S134:T134"/>
    <mergeCell ref="AB22:AB23"/>
    <mergeCell ref="Y26:Y27"/>
    <mergeCell ref="AD5:AE5"/>
    <mergeCell ref="D22:E22"/>
    <mergeCell ref="S96:T96"/>
    <mergeCell ref="S71:T71"/>
    <mergeCell ref="E120:E124"/>
    <mergeCell ref="D67:D71"/>
    <mergeCell ref="S111:T111"/>
    <mergeCell ref="S98:T98"/>
    <mergeCell ref="S73:T73"/>
    <mergeCell ref="H36:H37"/>
    <mergeCell ref="J36:J37"/>
    <mergeCell ref="AB58:AE58"/>
    <mergeCell ref="A56:B56"/>
    <mergeCell ref="H125:H129"/>
    <mergeCell ref="C56:D56"/>
    <mergeCell ref="V30:W30"/>
    <mergeCell ref="B125:B129"/>
    <mergeCell ref="H101:H107"/>
    <mergeCell ref="C145:C149"/>
    <mergeCell ref="H135:H139"/>
    <mergeCell ref="S112:T112"/>
    <mergeCell ref="P12:R14"/>
    <mergeCell ref="AE105:AE107"/>
    <mergeCell ref="F72:G76"/>
    <mergeCell ref="M8:N8"/>
    <mergeCell ref="S124:T124"/>
    <mergeCell ref="E140:E144"/>
    <mergeCell ref="J13:L13"/>
    <mergeCell ref="AE130:AE132"/>
    <mergeCell ref="D33:N33"/>
    <mergeCell ref="C115:C119"/>
    <mergeCell ref="J15:L15"/>
    <mergeCell ref="A115:A124"/>
    <mergeCell ref="S109:T109"/>
    <mergeCell ref="N26:N27"/>
    <mergeCell ref="Y2:AA2"/>
    <mergeCell ref="G6:I6"/>
    <mergeCell ref="S9:AE9"/>
    <mergeCell ref="D72:D76"/>
    <mergeCell ref="C150:C154"/>
    <mergeCell ref="R56:U56"/>
    <mergeCell ref="H140:H144"/>
    <mergeCell ref="R35:T35"/>
    <mergeCell ref="C4:D4"/>
    <mergeCell ref="E4:F4"/>
    <mergeCell ref="B87:B93"/>
    <mergeCell ref="M67:M76"/>
    <mergeCell ref="F30:G30"/>
    <mergeCell ref="D87:D93"/>
    <mergeCell ref="O11:O15"/>
    <mergeCell ref="E145:E149"/>
    <mergeCell ref="L101:L114"/>
    <mergeCell ref="N101:N114"/>
    <mergeCell ref="N145:N149"/>
    <mergeCell ref="I125:I134"/>
    <mergeCell ref="C32:N32"/>
    <mergeCell ref="B115:B119"/>
    <mergeCell ref="O44:O49"/>
    <mergeCell ref="D115:D119"/>
    <mergeCell ref="C60:D60"/>
    <mergeCell ref="AC56:AC57"/>
    <mergeCell ref="A9:F9"/>
    <mergeCell ref="AA87:AA100"/>
    <mergeCell ref="AC87:AC100"/>
    <mergeCell ref="C108:C114"/>
    <mergeCell ref="I115:I124"/>
    <mergeCell ref="J22:K22"/>
    <mergeCell ref="T22:U22"/>
    <mergeCell ref="S7:AE7"/>
    <mergeCell ref="N140:N144"/>
    <mergeCell ref="AE87:AE90"/>
    <mergeCell ref="S114:T114"/>
    <mergeCell ref="C57:D57"/>
    <mergeCell ref="AE120:AE122"/>
    <mergeCell ref="H72:H76"/>
    <mergeCell ref="L115:L124"/>
    <mergeCell ref="C19:AE19"/>
    <mergeCell ref="U34:V34"/>
    <mergeCell ref="P21:AA21"/>
    <mergeCell ref="P8:R8"/>
    <mergeCell ref="K101:K114"/>
    <mergeCell ref="C58:D58"/>
    <mergeCell ref="I36:I37"/>
    <mergeCell ref="Y125:Y134"/>
    <mergeCell ref="AB56:AB57"/>
    <mergeCell ref="AD115:AD124"/>
    <mergeCell ref="A2:C2"/>
    <mergeCell ref="K60:L60"/>
    <mergeCell ref="X67:X76"/>
    <mergeCell ref="S117:T117"/>
    <mergeCell ref="S67:T67"/>
    <mergeCell ref="X77:X86"/>
    <mergeCell ref="D49:N49"/>
    <mergeCell ref="Z77:Z86"/>
    <mergeCell ref="Q23:AA23"/>
    <mergeCell ref="S69:T69"/>
    <mergeCell ref="E130:E134"/>
    <mergeCell ref="K115:K124"/>
    <mergeCell ref="S6:T6"/>
    <mergeCell ref="S133:T133"/>
    <mergeCell ref="S127:T127"/>
    <mergeCell ref="M77:M86"/>
    <mergeCell ref="M26:M27"/>
    <mergeCell ref="E57:F57"/>
    <mergeCell ref="R57:U58"/>
    <mergeCell ref="G63:H63"/>
    <mergeCell ref="T46:U46"/>
    <mergeCell ref="I63:J63"/>
    <mergeCell ref="P9:R9"/>
    <mergeCell ref="K150:K154"/>
    <mergeCell ref="R25:T25"/>
    <mergeCell ref="Z45:AA45"/>
    <mergeCell ref="R48:S48"/>
    <mergeCell ref="K36:K37"/>
    <mergeCell ref="X12:Y12"/>
    <mergeCell ref="S16:T16"/>
    <mergeCell ref="T48:U48"/>
    <mergeCell ref="S18:T18"/>
    <mergeCell ref="K145:K149"/>
    <mergeCell ref="M101:M114"/>
    <mergeCell ref="C26:C27"/>
    <mergeCell ref="M145:M149"/>
    <mergeCell ref="S17:T17"/>
    <mergeCell ref="AE123:AE124"/>
    <mergeCell ref="O55:Z55"/>
    <mergeCell ref="S82:T82"/>
    <mergeCell ref="Z87:Z100"/>
    <mergeCell ref="AB87:AB100"/>
    <mergeCell ref="B108:B114"/>
    <mergeCell ref="K34:N34"/>
    <mergeCell ref="O21:O42"/>
    <mergeCell ref="U16:Y16"/>
    <mergeCell ref="AC60:AC61"/>
    <mergeCell ref="E60:F60"/>
    <mergeCell ref="M22:N22"/>
    <mergeCell ref="H150:H154"/>
    <mergeCell ref="J150:J154"/>
    <mergeCell ref="E67:E71"/>
    <mergeCell ref="AE118:AE119"/>
    <mergeCell ref="C16:F16"/>
    <mergeCell ref="G45:H45"/>
    <mergeCell ref="Q36:Q37"/>
    <mergeCell ref="X26:X27"/>
    <mergeCell ref="A145:A154"/>
    <mergeCell ref="S108:T108"/>
    <mergeCell ref="AE70:AE71"/>
    <mergeCell ref="AE108:AE111"/>
    <mergeCell ref="AB33:AC33"/>
    <mergeCell ref="C11:F11"/>
    <mergeCell ref="G46:H46"/>
    <mergeCell ref="I40:J40"/>
  </mergeCells>
  <conditionalFormatting sqref="AD56">
    <cfRule type="dataBar" priority="3771">
      <dataBar>
        <cfvo type="percentile" val="1"/>
        <cfvo type="percentile" val="100"/>
        <color rgb="FFFFC000"/>
      </dataBar>
    </cfRule>
    <cfRule type="dataBar" priority="3770">
      <dataBar>
        <cfvo type="percent" val="0"/>
        <cfvo type="percent" val="100"/>
        <color rgb="FFFFC000"/>
      </dataBar>
    </cfRule>
    <cfRule type="dataBar" priority="3769">
      <dataBar>
        <cfvo type="min"/>
        <cfvo type="max"/>
        <color rgb="FFFFC000"/>
      </dataBar>
    </cfRule>
    <cfRule type="dataBar" priority="3768">
      <dataBar>
        <cfvo type="num" val="0"/>
        <cfvo type="num" val="0"/>
        <color rgb="FF638EC6"/>
      </dataBar>
    </cfRule>
    <cfRule type="dataBar" priority="3767">
      <dataBar>
        <cfvo type="percentile" val="0"/>
        <cfvo type="percentile" val="100"/>
        <color rgb="FF638EC6"/>
      </dataBar>
    </cfRule>
    <cfRule type="dataBar" priority="3766">
      <dataBar>
        <cfvo type="percent" val="0"/>
        <cfvo type="percent" val="1"/>
        <color rgb="FF638EC6"/>
      </dataBar>
    </cfRule>
    <cfRule type="dataBar" priority="3765">
      <dataBar>
        <cfvo type="min"/>
        <cfvo type="num" val="1"/>
        <color rgb="FFFFB628"/>
      </dataBar>
    </cfRule>
    <cfRule type="dataBar" priority="3763">
      <dataBar>
        <cfvo type="min"/>
        <cfvo type="num" val="1"/>
        <color rgb="FFFFC000"/>
      </dataBar>
    </cfRule>
  </conditionalFormatting>
  <conditionalFormatting sqref="K60">
    <cfRule type="dataBar" priority="3738">
      <dataBar>
        <cfvo type="percentile" val="1"/>
        <cfvo type="percentile" val="100"/>
        <color rgb="FFFFC000"/>
      </dataBar>
    </cfRule>
    <cfRule type="dataBar" priority="3737">
      <dataBar>
        <cfvo type="percent" val="0"/>
        <cfvo type="percent" val="100"/>
        <color rgb="FFFFC000"/>
      </dataBar>
    </cfRule>
    <cfRule type="dataBar" priority="3736">
      <dataBar>
        <cfvo type="min"/>
        <cfvo type="max"/>
        <color rgb="FFFFC000"/>
      </dataBar>
    </cfRule>
    <cfRule type="dataBar" priority="3735">
      <dataBar>
        <cfvo type="num" val="0"/>
        <cfvo type="num" val="0"/>
        <color rgb="FF638EC6"/>
      </dataBar>
    </cfRule>
    <cfRule type="dataBar" priority="3734">
      <dataBar>
        <cfvo type="percentile" val="0"/>
        <cfvo type="percentile" val="100"/>
        <color rgb="FF638EC6"/>
      </dataBar>
    </cfRule>
    <cfRule type="dataBar" priority="3733">
      <dataBar>
        <cfvo type="percent" val="0"/>
        <cfvo type="percent" val="1"/>
        <color rgb="FF638EC6"/>
      </dataBar>
    </cfRule>
    <cfRule type="dataBar" priority="3732">
      <dataBar>
        <cfvo type="min"/>
        <cfvo type="num" val="1"/>
        <color rgb="FFFFB628"/>
      </dataBar>
    </cfRule>
    <cfRule type="dataBar" priority="3730">
      <dataBar>
        <cfvo type="min"/>
        <cfvo type="num" val="1"/>
        <color rgb="FFFFC000"/>
      </dataBar>
    </cfRule>
  </conditionalFormatting>
  <conditionalFormatting sqref="AD60">
    <cfRule type="dataBar" priority="3760">
      <dataBar>
        <cfvo type="percentile" val="1"/>
        <cfvo type="percentile" val="100"/>
        <color rgb="FFFFC000"/>
      </dataBar>
    </cfRule>
    <cfRule type="dataBar" priority="3759">
      <dataBar>
        <cfvo type="percent" val="0"/>
        <cfvo type="percent" val="100"/>
        <color rgb="FFFFC000"/>
      </dataBar>
    </cfRule>
    <cfRule type="dataBar" priority="3758">
      <dataBar>
        <cfvo type="min"/>
        <cfvo type="max"/>
        <color rgb="FFFFC000"/>
      </dataBar>
    </cfRule>
    <cfRule type="dataBar" priority="3757">
      <dataBar>
        <cfvo type="num" val="0"/>
        <cfvo type="num" val="0"/>
        <color rgb="FF638EC6"/>
      </dataBar>
    </cfRule>
    <cfRule type="dataBar" priority="3756">
      <dataBar>
        <cfvo type="percentile" val="0"/>
        <cfvo type="percentile" val="100"/>
        <color rgb="FF638EC6"/>
      </dataBar>
    </cfRule>
    <cfRule type="dataBar" priority="3755">
      <dataBar>
        <cfvo type="percent" val="0"/>
        <cfvo type="percent" val="1"/>
        <color rgb="FF638EC6"/>
      </dataBar>
    </cfRule>
    <cfRule type="dataBar" priority="3754">
      <dataBar>
        <cfvo type="min"/>
        <cfvo type="num" val="1"/>
        <color rgb="FFFFB628"/>
      </dataBar>
    </cfRule>
    <cfRule type="dataBar" priority="3752">
      <dataBar>
        <cfvo type="min"/>
        <cfvo type="num" val="1"/>
        <color rgb="FFFFC000"/>
      </dataBar>
    </cfRule>
  </conditionalFormatting>
  <conditionalFormatting sqref="K61">
    <cfRule type="dataBar" priority="3727">
      <dataBar>
        <cfvo type="percentile" val="1"/>
        <cfvo type="percentile" val="100"/>
        <color rgb="FFFFC000"/>
      </dataBar>
    </cfRule>
    <cfRule type="dataBar" priority="3726">
      <dataBar>
        <cfvo type="percent" val="0"/>
        <cfvo type="percent" val="100"/>
        <color rgb="FFFFC000"/>
      </dataBar>
    </cfRule>
    <cfRule type="dataBar" priority="3725">
      <dataBar>
        <cfvo type="min"/>
        <cfvo type="max"/>
        <color rgb="FFFFC000"/>
      </dataBar>
    </cfRule>
    <cfRule type="dataBar" priority="3724">
      <dataBar>
        <cfvo type="num" val="0"/>
        <cfvo type="num" val="0"/>
        <color rgb="FF638EC6"/>
      </dataBar>
    </cfRule>
    <cfRule type="dataBar" priority="3723">
      <dataBar>
        <cfvo type="percentile" val="0"/>
        <cfvo type="percentile" val="100"/>
        <color rgb="FF638EC6"/>
      </dataBar>
    </cfRule>
    <cfRule type="dataBar" priority="3722">
      <dataBar>
        <cfvo type="percent" val="0"/>
        <cfvo type="percent" val="1"/>
        <color rgb="FF638EC6"/>
      </dataBar>
    </cfRule>
    <cfRule type="dataBar" priority="3721">
      <dataBar>
        <cfvo type="min"/>
        <cfvo type="num" val="1"/>
        <color rgb="FFFFB628"/>
      </dataBar>
    </cfRule>
    <cfRule type="dataBar" priority="3719">
      <dataBar>
        <cfvo type="min"/>
        <cfvo type="num" val="1"/>
        <color rgb="FFFFC000"/>
      </dataBar>
    </cfRule>
  </conditionalFormatting>
  <conditionalFormatting sqref="K62">
    <cfRule type="dataBar" priority="3716">
      <dataBar>
        <cfvo type="percentile" val="1"/>
        <cfvo type="percentile" val="100"/>
        <color rgb="FFFFC000"/>
      </dataBar>
    </cfRule>
    <cfRule type="dataBar" priority="3715">
      <dataBar>
        <cfvo type="percent" val="0"/>
        <cfvo type="percent" val="100"/>
        <color rgb="FFFFC000"/>
      </dataBar>
    </cfRule>
    <cfRule type="dataBar" priority="3714">
      <dataBar>
        <cfvo type="min"/>
        <cfvo type="max"/>
        <color rgb="FFFFC000"/>
      </dataBar>
    </cfRule>
    <cfRule type="dataBar" priority="3713">
      <dataBar>
        <cfvo type="num" val="0"/>
        <cfvo type="num" val="0"/>
        <color rgb="FF638EC6"/>
      </dataBar>
    </cfRule>
    <cfRule type="dataBar" priority="3712">
      <dataBar>
        <cfvo type="percentile" val="0"/>
        <cfvo type="percentile" val="100"/>
        <color rgb="FF638EC6"/>
      </dataBar>
    </cfRule>
    <cfRule type="dataBar" priority="3711">
      <dataBar>
        <cfvo type="percent" val="0"/>
        <cfvo type="percent" val="1"/>
        <color rgb="FF638EC6"/>
      </dataBar>
    </cfRule>
    <cfRule type="dataBar" priority="3710">
      <dataBar>
        <cfvo type="min"/>
        <cfvo type="num" val="1"/>
        <color rgb="FFFFB628"/>
      </dataBar>
    </cfRule>
    <cfRule type="dataBar" priority="3708">
      <dataBar>
        <cfvo type="min"/>
        <cfvo type="num" val="1"/>
        <color rgb="FFFFC000"/>
      </dataBar>
    </cfRule>
  </conditionalFormatting>
  <conditionalFormatting sqref="K63">
    <cfRule type="dataBar" priority="3705">
      <dataBar>
        <cfvo type="percentile" val="1"/>
        <cfvo type="percentile" val="100"/>
        <color rgb="FFFFC000"/>
      </dataBar>
    </cfRule>
    <cfRule type="dataBar" priority="3704">
      <dataBar>
        <cfvo type="percent" val="0"/>
        <cfvo type="percent" val="100"/>
        <color rgb="FFFFC000"/>
      </dataBar>
    </cfRule>
    <cfRule type="dataBar" priority="3703">
      <dataBar>
        <cfvo type="min"/>
        <cfvo type="max"/>
        <color rgb="FFFFC000"/>
      </dataBar>
    </cfRule>
    <cfRule type="dataBar" priority="3702">
      <dataBar>
        <cfvo type="num" val="0"/>
        <cfvo type="num" val="0"/>
        <color rgb="FF638EC6"/>
      </dataBar>
    </cfRule>
    <cfRule type="dataBar" priority="3701">
      <dataBar>
        <cfvo type="percentile" val="0"/>
        <cfvo type="percentile" val="100"/>
        <color rgb="FF638EC6"/>
      </dataBar>
    </cfRule>
    <cfRule type="dataBar" priority="3700">
      <dataBar>
        <cfvo type="percent" val="0"/>
        <cfvo type="percent" val="1"/>
        <color rgb="FF638EC6"/>
      </dataBar>
    </cfRule>
    <cfRule type="dataBar" priority="3699">
      <dataBar>
        <cfvo type="min"/>
        <cfvo type="num" val="1"/>
        <color rgb="FFFFB628"/>
      </dataBar>
    </cfRule>
    <cfRule type="dataBar" priority="3697">
      <dataBar>
        <cfvo type="min"/>
        <cfvo type="num" val="1"/>
        <color rgb="FFFFC000"/>
      </dataBar>
    </cfRule>
  </conditionalFormatting>
  <conditionalFormatting sqref="AB67">
    <cfRule type="dataBar" priority="6">
      <dataBar>
        <cfvo type="min"/>
        <cfvo type="num" val="1"/>
        <color rgb="FF008AEF"/>
      </dataBar>
    </cfRule>
    <cfRule type="dataBar" priority="5">
      <dataBar>
        <cfvo type="min"/>
        <cfvo type="num" val="1"/>
        <color rgb="FFFFC000"/>
      </dataBar>
    </cfRule>
    <cfRule type="dataBar" priority="4">
      <dataBar>
        <cfvo type="min"/>
        <cfvo type="num" val="1"/>
        <color rgb="FFFFC000"/>
      </dataBar>
    </cfRule>
  </conditionalFormatting>
  <conditionalFormatting sqref="AB101">
    <cfRule type="dataBar" priority="12">
      <dataBar>
        <cfvo type="min"/>
        <cfvo type="num" val="1"/>
        <color rgb="FF008AEF"/>
      </dataBar>
    </cfRule>
    <cfRule type="dataBar" priority="11">
      <dataBar>
        <cfvo type="min"/>
        <cfvo type="num" val="1"/>
        <color rgb="FFFFC000"/>
      </dataBar>
    </cfRule>
    <cfRule type="dataBar" priority="10">
      <dataBar>
        <cfvo type="min"/>
        <cfvo type="num" val="1"/>
        <color rgb="FFFFC000"/>
      </dataBar>
    </cfRule>
  </conditionalFormatting>
  <conditionalFormatting sqref="AB115">
    <cfRule type="dataBar" priority="15">
      <dataBar>
        <cfvo type="min"/>
        <cfvo type="num" val="1"/>
        <color rgb="FF008AEF"/>
      </dataBar>
    </cfRule>
    <cfRule type="dataBar" priority="14">
      <dataBar>
        <cfvo type="min"/>
        <cfvo type="num" val="1"/>
        <color rgb="FFFFC000"/>
      </dataBar>
    </cfRule>
  </conditionalFormatting>
  <conditionalFormatting sqref="AB125">
    <cfRule type="dataBar" priority="3">
      <dataBar>
        <cfvo type="min"/>
        <cfvo type="num" val="1"/>
        <color rgb="FF008AEF"/>
      </dataBar>
    </cfRule>
    <cfRule type="dataBar" priority="2">
      <dataBar>
        <cfvo type="min"/>
        <cfvo type="num" val="1"/>
        <color rgb="FFFFC000"/>
      </dataBar>
    </cfRule>
    <cfRule type="dataBar" priority="1">
      <dataBar>
        <cfvo type="min"/>
        <cfvo type="num" val="1"/>
        <color rgb="FFFFC000"/>
      </dataBar>
    </cfRule>
  </conditionalFormatting>
  <conditionalFormatting sqref="K135">
    <cfRule type="dataBar" priority="31">
      <dataBar>
        <cfvo type="min"/>
        <cfvo type="num" val="1"/>
        <color rgb="FF008AEF"/>
      </dataBar>
    </cfRule>
    <cfRule type="dataBar" priority="30">
      <dataBar>
        <cfvo type="min"/>
        <cfvo type="num" val="1"/>
        <color rgb="FFFFC000"/>
      </dataBar>
    </cfRule>
    <cfRule type="dataBar" priority="29">
      <dataBar>
        <cfvo type="min"/>
        <cfvo type="num" val="1"/>
        <color rgb="FFFFC000"/>
      </dataBar>
    </cfRule>
  </conditionalFormatting>
  <conditionalFormatting sqref="K140">
    <cfRule type="dataBar" priority="34">
      <dataBar>
        <cfvo type="min"/>
        <cfvo type="num" val="1"/>
        <color rgb="FF008AEF"/>
      </dataBar>
    </cfRule>
    <cfRule type="dataBar" priority="33">
      <dataBar>
        <cfvo type="min"/>
        <cfvo type="num" val="1"/>
        <color rgb="FFFFC000"/>
      </dataBar>
    </cfRule>
    <cfRule type="dataBar" priority="32">
      <dataBar>
        <cfvo type="min"/>
        <cfvo type="num" val="1"/>
        <color rgb="FFFFC000"/>
      </dataBar>
    </cfRule>
  </conditionalFormatting>
  <conditionalFormatting sqref="K145">
    <cfRule type="dataBar" priority="28">
      <dataBar>
        <cfvo type="min"/>
        <cfvo type="num" val="1"/>
        <color rgb="FF008AEF"/>
      </dataBar>
    </cfRule>
    <cfRule type="dataBar" priority="27">
      <dataBar>
        <cfvo type="min"/>
        <cfvo type="num" val="1"/>
        <color rgb="FFFFC000"/>
      </dataBar>
    </cfRule>
    <cfRule type="dataBar" priority="26">
      <dataBar>
        <cfvo type="min"/>
        <cfvo type="num" val="1"/>
        <color rgb="FFFFC000"/>
      </dataBar>
    </cfRule>
  </conditionalFormatting>
  <conditionalFormatting sqref="K150">
    <cfRule type="dataBar" priority="25">
      <dataBar>
        <cfvo type="min"/>
        <cfvo type="num" val="1"/>
        <color rgb="FF008AEF"/>
      </dataBar>
    </cfRule>
    <cfRule type="dataBar" priority="24">
      <dataBar>
        <cfvo type="min"/>
        <cfvo type="num" val="1"/>
        <color rgb="FFFFC000"/>
      </dataBar>
    </cfRule>
    <cfRule type="dataBar" priority="23">
      <dataBar>
        <cfvo type="min"/>
        <cfvo type="num" val="1"/>
        <color rgb="FFFFC000"/>
      </dataBar>
    </cfRule>
  </conditionalFormatting>
  <conditionalFormatting sqref="K57:K58">
    <cfRule type="dataBar" priority="3749">
      <dataBar>
        <cfvo type="percentile" val="1"/>
        <cfvo type="percentile" val="100"/>
        <color rgb="FFFFC000"/>
      </dataBar>
    </cfRule>
    <cfRule type="dataBar" priority="3748">
      <dataBar>
        <cfvo type="percent" val="0"/>
        <cfvo type="percent" val="100"/>
        <color rgb="FFFFC000"/>
      </dataBar>
    </cfRule>
    <cfRule type="dataBar" priority="3747">
      <dataBar>
        <cfvo type="min"/>
        <cfvo type="max"/>
        <color rgb="FFFFC000"/>
      </dataBar>
    </cfRule>
    <cfRule type="dataBar" priority="3746">
      <dataBar>
        <cfvo type="num" val="0"/>
        <cfvo type="num" val="0"/>
        <color rgb="FF638EC6"/>
      </dataBar>
    </cfRule>
    <cfRule type="dataBar" priority="3745">
      <dataBar>
        <cfvo type="percentile" val="0"/>
        <cfvo type="percentile" val="100"/>
        <color rgb="FF638EC6"/>
      </dataBar>
    </cfRule>
    <cfRule type="dataBar" priority="3744">
      <dataBar>
        <cfvo type="percent" val="0"/>
        <cfvo type="percent" val="1"/>
        <color rgb="FF638EC6"/>
      </dataBar>
    </cfRule>
    <cfRule type="dataBar" priority="3743">
      <dataBar>
        <cfvo type="min"/>
        <cfvo type="num" val="1"/>
        <color rgb="FFFFB628"/>
      </dataBar>
    </cfRule>
    <cfRule type="dataBar" priority="3741">
      <dataBar>
        <cfvo type="min"/>
        <cfvo type="num" val="1"/>
        <color rgb="FFFFC000"/>
      </dataBar>
    </cfRule>
  </conditionalFormatting>
  <conditionalFormatting sqref="Y67:Y86">
    <cfRule type="dataBar" priority="22">
      <dataBar>
        <cfvo type="min"/>
        <cfvo type="num" val="1"/>
        <color rgb="FFFFC000"/>
      </dataBar>
    </cfRule>
    <cfRule type="dataBar" priority="21">
      <dataBar>
        <cfvo type="min"/>
        <cfvo type="num" val="1"/>
        <color rgb="FFFFC000"/>
      </dataBar>
    </cfRule>
  </conditionalFormatting>
  <conditionalFormatting sqref="Y77:Y86">
    <cfRule type="dataBar" priority="20">
      <dataBar>
        <cfvo type="min"/>
        <cfvo type="num" val="1"/>
        <color rgb="FFFFC000"/>
      </dataBar>
    </cfRule>
  </conditionalFormatting>
  <conditionalFormatting sqref="AB115:AB124">
    <cfRule type="dataBar" priority="13">
      <dataBar>
        <cfvo type="min"/>
        <cfvo type="num" val="1"/>
        <color rgb="FFFFC000"/>
      </dataBar>
    </cfRule>
  </conditionalFormatting>
  <conditionalFormatting sqref="AD56:AE57">
    <cfRule type="dataBar" priority="3762">
      <dataBar>
        <cfvo type="min"/>
        <cfvo type="num" val="1"/>
        <color rgb="FFFFC000"/>
      </dataBar>
    </cfRule>
  </conditionalFormatting>
  <conditionalFormatting sqref="AD60:AE63">
    <cfRule type="dataBar" priority="3751">
      <dataBar>
        <cfvo type="min"/>
        <cfvo type="num" val="1"/>
        <color rgb="FFFFC000"/>
      </dataBar>
    </cfRule>
  </conditionalFormatting>
  <conditionalFormatting sqref="F67 F72 F77 F82">
    <cfRule type="dataBar" priority="49">
      <dataBar>
        <cfvo type="min"/>
        <cfvo type="num" val="1"/>
        <color rgb="FF008AEF"/>
      </dataBar>
    </cfRule>
    <cfRule type="dataBar" priority="48">
      <dataBar>
        <cfvo type="min"/>
        <cfvo type="num" val="1"/>
        <color rgb="FFFFC000"/>
      </dataBar>
    </cfRule>
    <cfRule type="dataBar" priority="47">
      <dataBar>
        <cfvo type="min"/>
        <cfvo type="num" val="1"/>
        <color rgb="FFFFC000"/>
      </dataBar>
    </cfRule>
  </conditionalFormatting>
  <conditionalFormatting sqref="K67 K77 K87 K101">
    <cfRule type="dataBar" priority="40">
      <dataBar>
        <cfvo type="min"/>
        <cfvo type="num" val="1"/>
        <color rgb="FF008AEF"/>
      </dataBar>
    </cfRule>
    <cfRule type="dataBar" priority="39">
      <dataBar>
        <cfvo type="min"/>
        <cfvo type="num" val="1"/>
        <color rgb="FFFFC000"/>
      </dataBar>
    </cfRule>
    <cfRule type="dataBar" priority="38">
      <dataBar>
        <cfvo type="min"/>
        <cfvo type="num" val="1"/>
        <color rgb="FFFFC000"/>
      </dataBar>
    </cfRule>
  </conditionalFormatting>
  <conditionalFormatting sqref="AB77 AB87">
    <cfRule type="dataBar" priority="9">
      <dataBar>
        <cfvo type="min"/>
        <cfvo type="num" val="1"/>
        <color rgb="FF008AEF"/>
      </dataBar>
    </cfRule>
    <cfRule type="dataBar" priority="8">
      <dataBar>
        <cfvo type="min"/>
        <cfvo type="num" val="1"/>
        <color rgb="FFFFC000"/>
      </dataBar>
    </cfRule>
    <cfRule type="dataBar" priority="7">
      <dataBar>
        <cfvo type="min"/>
        <cfvo type="num" val="1"/>
        <color rgb="FFFFC000"/>
      </dataBar>
    </cfRule>
  </conditionalFormatting>
  <conditionalFormatting sqref="F87 F94 F101 F108">
    <cfRule type="dataBar" priority="46">
      <dataBar>
        <cfvo type="min"/>
        <cfvo type="num" val="1"/>
        <color rgb="FF008AEF"/>
      </dataBar>
    </cfRule>
    <cfRule type="dataBar" priority="45">
      <dataBar>
        <cfvo type="min"/>
        <cfvo type="num" val="1"/>
        <color rgb="FFFFC000"/>
      </dataBar>
    </cfRule>
    <cfRule type="dataBar" priority="44">
      <dataBar>
        <cfvo type="min"/>
        <cfvo type="num" val="1"/>
        <color rgb="FFFFC000"/>
      </dataBar>
    </cfRule>
  </conditionalFormatting>
  <conditionalFormatting sqref="Y87 Y101">
    <cfRule type="dataBar" priority="19">
      <dataBar>
        <cfvo type="min"/>
        <cfvo type="num" val="1"/>
        <color rgb="FFFFC000"/>
      </dataBar>
    </cfRule>
    <cfRule type="dataBar" priority="18">
      <dataBar>
        <cfvo type="min"/>
        <cfvo type="num" val="1"/>
        <color rgb="FFFFC000"/>
      </dataBar>
    </cfRule>
  </conditionalFormatting>
  <conditionalFormatting sqref="F115 F120 F125 F130 F135 F140 F145 F150">
    <cfRule type="dataBar" priority="43">
      <dataBar>
        <cfvo type="min"/>
        <cfvo type="num" val="1"/>
        <color rgb="FF008AEF"/>
      </dataBar>
    </cfRule>
    <cfRule type="dataBar" priority="42">
      <dataBar>
        <cfvo type="min"/>
        <cfvo type="num" val="1"/>
        <color rgb="FFFFC000"/>
      </dataBar>
    </cfRule>
    <cfRule type="dataBar" priority="41">
      <dataBar>
        <cfvo type="min"/>
        <cfvo type="num" val="1"/>
        <color rgb="FFFFC000"/>
      </dataBar>
    </cfRule>
  </conditionalFormatting>
  <conditionalFormatting sqref="K115 K125">
    <cfRule type="dataBar" priority="37">
      <dataBar>
        <cfvo type="min"/>
        <cfvo type="num" val="1"/>
        <color rgb="FF008AEF"/>
      </dataBar>
    </cfRule>
    <cfRule type="dataBar" priority="36">
      <dataBar>
        <cfvo type="min"/>
        <cfvo type="num" val="1"/>
        <color rgb="FFFFC000"/>
      </dataBar>
    </cfRule>
    <cfRule type="dataBar" priority="35">
      <dataBar>
        <cfvo type="min"/>
        <cfvo type="num" val="1"/>
        <color rgb="FFFFC000"/>
      </dataBar>
    </cfRule>
  </conditionalFormatting>
  <conditionalFormatting sqref="Y115 Y125">
    <cfRule type="dataBar" priority="17">
      <dataBar>
        <cfvo type="min"/>
        <cfvo type="num" val="1"/>
        <color rgb="FFFFC000"/>
      </dataBar>
    </cfRule>
    <cfRule type="dataBar" priority="16">
      <dataBar>
        <cfvo type="min"/>
        <cfvo type="num" val="1"/>
        <color rgb="FFFFC000"/>
      </dataBar>
    </cfRule>
  </conditionalFormatting>
  <dataValidations count="7">
    <dataValidation sqref="D2:H2" showDropDown="0" showInputMessage="1" showErrorMessage="1" allowBlank="1" type="list">
      <formula1>"白,夜"</formula1>
    </dataValidation>
    <dataValidation sqref="L2:N2" showDropDown="0" showInputMessage="1" showErrorMessage="1" allowBlank="1" type="list">
      <formula1>"晴,多云,小雨,大雨,阴,雾,霾"</formula1>
    </dataValidation>
    <dataValidation sqref="E5:F5 G7:O7 G16:G18 S7:AE7 S15:T18" showDropDown="0" showInputMessage="1" showErrorMessage="1" allowBlank="1"/>
    <dataValidation sqref="G5:H5" showDropDown="0" showInputMessage="1" showErrorMessage="1" allowBlank="1" type="list">
      <formula1>"配电,弱电,暖通,消防,其他"</formula1>
    </dataValidation>
    <dataValidation sqref="AB5" showDropDown="0" showInputMessage="1" showErrorMessage="1" allowBlank="1" type="list">
      <formula1>"低,中,高"</formula1>
    </dataValidation>
    <dataValidation sqref="G6:I6 P6:R6" showDropDown="0" showInputMessage="1" showErrorMessage="1" allowBlank="1" type="list">
      <formula1>"A班,B班,C班,D班"</formula1>
    </dataValidation>
    <dataValidation sqref="A11:B18 A20:B49" showDropDown="0" showInputMessage="1" showErrorMessage="1" allowBlank="1" type="list">
      <formula1>"A楼,B楼,C楼,D楼,E楼"</formula1>
    </dataValidation>
  </dataValidations>
  <pageMargins left="0.75" right="0.75" top="1" bottom="1" header="0.5" footer="0.5"/>
  <pageSetup orientation="portrait" paperSize="9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J15" sqref="J15"/>
    </sheetView>
  </sheetViews>
  <sheetFormatPr baseColWidth="8" defaultColWidth="9" defaultRowHeight="14" outlineLevelRow="5"/>
  <cols>
    <col width="26.8818181818182" customWidth="1" style="1" min="1" max="1"/>
    <col width="9.381818181818179" customWidth="1" style="1" min="2" max="2"/>
    <col width="9.21818181818182" customWidth="1" style="1" min="3" max="3"/>
    <col width="9.381818181818179" customWidth="1" style="1" min="18" max="18"/>
  </cols>
  <sheetData>
    <row r="1">
      <c r="A1" s="2" t="inlineStr">
        <is>
          <t>仅需修改绿色部分</t>
        </is>
      </c>
      <c r="B1" s="3" t="inlineStr">
        <is>
          <t>1#油罐</t>
        </is>
      </c>
      <c r="C1" s="3" t="inlineStr">
        <is>
          <t>2#油罐</t>
        </is>
      </c>
      <c r="D1" s="3" t="inlineStr">
        <is>
          <t>1#油箱</t>
        </is>
      </c>
      <c r="E1" s="3" t="inlineStr">
        <is>
          <t>2#油箱</t>
        </is>
      </c>
      <c r="F1" s="3" t="inlineStr">
        <is>
          <t>3#油箱</t>
        </is>
      </c>
      <c r="G1" s="3" t="inlineStr">
        <is>
          <t>4#油箱</t>
        </is>
      </c>
      <c r="H1" s="3" t="inlineStr">
        <is>
          <t>5#油箱</t>
        </is>
      </c>
      <c r="I1" s="3" t="inlineStr">
        <is>
          <t>6#油箱</t>
        </is>
      </c>
      <c r="J1" s="3" t="inlineStr">
        <is>
          <t>7#油箱</t>
        </is>
      </c>
      <c r="K1" s="3" t="inlineStr">
        <is>
          <t>8#油箱</t>
        </is>
      </c>
      <c r="L1" s="3" t="inlineStr">
        <is>
          <t>9#油箱</t>
        </is>
      </c>
      <c r="M1" s="3" t="inlineStr">
        <is>
          <t>10#油箱</t>
        </is>
      </c>
      <c r="N1" s="3" t="inlineStr">
        <is>
          <t>11#油箱</t>
        </is>
      </c>
      <c r="O1" s="3" t="inlineStr">
        <is>
          <t>12#油箱</t>
        </is>
      </c>
      <c r="P1" s="3" t="inlineStr">
        <is>
          <t>13#油箱</t>
        </is>
      </c>
      <c r="Q1" s="3" t="inlineStr">
        <is>
          <t>14#油箱</t>
        </is>
      </c>
      <c r="R1" s="3" t="inlineStr">
        <is>
          <t>总油量</t>
        </is>
      </c>
    </row>
    <row r="2">
      <c r="A2" s="3" t="inlineStr">
        <is>
          <t>油位cm</t>
        </is>
      </c>
      <c r="B2" s="162" t="n">
        <v>36.11</v>
      </c>
      <c r="C2" s="162" t="n">
        <v>47.21</v>
      </c>
      <c r="D2" s="5" t="n">
        <v>79.76000000000001</v>
      </c>
      <c r="E2" s="5" t="n">
        <v>80.65000000000001</v>
      </c>
      <c r="F2" s="5" t="n">
        <v>80.27</v>
      </c>
      <c r="G2" s="5" t="n">
        <v>78.83</v>
      </c>
      <c r="H2" s="5" t="n">
        <v>79.23</v>
      </c>
      <c r="I2" s="5" t="n">
        <v>78.95</v>
      </c>
      <c r="J2" s="5" t="n">
        <v>79.45999999999999</v>
      </c>
      <c r="K2" s="5" t="n">
        <v>78.25</v>
      </c>
      <c r="L2" s="5" t="n">
        <v>78.23</v>
      </c>
      <c r="M2" s="5" t="n">
        <v>80.08</v>
      </c>
      <c r="N2" s="5" t="n">
        <v>79.28</v>
      </c>
      <c r="O2" s="5" t="n">
        <v>79.3</v>
      </c>
      <c r="P2" s="5" t="n">
        <v>79.38</v>
      </c>
      <c r="Q2" s="5" t="n">
        <v>79.48</v>
      </c>
      <c r="R2" s="3" t="n"/>
    </row>
    <row r="3">
      <c r="A3" s="3" t="inlineStr">
        <is>
          <t>储油量（L）</t>
        </is>
      </c>
      <c r="B3" s="163" t="n">
        <v>12689.5</v>
      </c>
      <c r="C3" s="163" t="n">
        <v>16615.58</v>
      </c>
      <c r="D3" s="164" t="n">
        <v>801.22</v>
      </c>
      <c r="E3" s="164" t="n">
        <v>807.87</v>
      </c>
      <c r="F3" s="164" t="n">
        <v>803.8200000000001</v>
      </c>
      <c r="G3" s="164" t="n">
        <v>790.36</v>
      </c>
      <c r="H3" s="164" t="n">
        <v>799.66</v>
      </c>
      <c r="I3" s="164" t="n">
        <v>791.34</v>
      </c>
      <c r="J3" s="164" t="n">
        <v>795.61</v>
      </c>
      <c r="K3" s="164" t="n">
        <v>783.5599999999999</v>
      </c>
      <c r="L3" s="164" t="n">
        <v>784.22</v>
      </c>
      <c r="M3" s="164" t="n">
        <v>802.77</v>
      </c>
      <c r="N3" s="164" t="n">
        <v>806.5700000000001</v>
      </c>
      <c r="O3" s="164" t="n">
        <v>794.49</v>
      </c>
      <c r="P3" s="164" t="n">
        <v>801.54</v>
      </c>
      <c r="Q3" s="164" t="n">
        <v>795.54</v>
      </c>
      <c r="R3" s="165">
        <f>SUM(B3:Q3)</f>
        <v/>
      </c>
    </row>
    <row r="4" ht="28" customHeight="1" s="1">
      <c r="A4" s="9" t="inlineStr">
        <is>
          <t>储油量（t）(注：柴油密度取0.86kg/L)</t>
        </is>
      </c>
      <c r="B4" s="164">
        <f>B3*0.86/1000</f>
        <v/>
      </c>
      <c r="C4" s="164">
        <f>C3*0.86/1000</f>
        <v/>
      </c>
      <c r="D4" s="164">
        <f>D3*0.86/1000</f>
        <v/>
      </c>
      <c r="E4" s="164">
        <f>E3*0.86/1000</f>
        <v/>
      </c>
      <c r="F4" s="164">
        <f>F3*0.86/1000</f>
        <v/>
      </c>
      <c r="G4" s="164">
        <f>G3*0.86/1000</f>
        <v/>
      </c>
      <c r="H4" s="164">
        <f>H3*0.86/1000</f>
        <v/>
      </c>
      <c r="I4" s="164">
        <f>I3*0.86/1000</f>
        <v/>
      </c>
      <c r="J4" s="164">
        <f>J3*0.86/1000</f>
        <v/>
      </c>
      <c r="K4" s="164">
        <f>K3*0.86/1000</f>
        <v/>
      </c>
      <c r="L4" s="164">
        <f>L3*0.86/1000</f>
        <v/>
      </c>
      <c r="M4" s="164">
        <f>M3*0.86/1000</f>
        <v/>
      </c>
      <c r="N4" s="164">
        <f>N3*0.86/1000</f>
        <v/>
      </c>
      <c r="O4" s="164">
        <f>O3*0.86/1000</f>
        <v/>
      </c>
      <c r="P4" s="164" t="n">
        <v>0.63</v>
      </c>
      <c r="Q4" s="164" t="n">
        <v>0.62</v>
      </c>
      <c r="R4" s="165">
        <f>SUM(B4:Q4)</f>
        <v/>
      </c>
    </row>
    <row r="6">
      <c r="A6" s="10" t="inlineStr">
        <is>
          <t>罐储油量参照表：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梅冰冰</dc:creator>
  <dcterms:created xsi:type="dcterms:W3CDTF">2020-05-01T14:43:00Z</dcterms:created>
  <dcterms:modified xsi:type="dcterms:W3CDTF">2026-04-22T16:09:40Z</dcterms:modified>
  <cp:lastModifiedBy>皮皮瞎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KSOReadingLayout" fmtid="{D5CDD505-2E9C-101B-9397-08002B2CF9AE}" pid="3">
    <vt:bool>0</vt:bool>
  </property>
  <property name="ICV" fmtid="{D5CDD505-2E9C-101B-9397-08002B2CF9AE}" pid="4">
    <vt:lpwstr>DF80DC6E670A415A8F2FBD3B54B72C3C_13</vt:lpwstr>
  </property>
  <property name="CalculationRule" fmtid="{D5CDD505-2E9C-101B-9397-08002B2CF9AE}" pid="5">
    <vt:i4>0</vt:i4>
  </property>
</Properties>
</file>