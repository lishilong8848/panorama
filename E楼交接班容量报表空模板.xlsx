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本班组" sheetId="1" r:id="rId1"/>
    <sheet name="油量附表" sheetId="2" r:id="rId2"/>
  </sheets>
  <definedNames>
    <definedName name="欧0">本班组!$U$17</definedName>
    <definedName name="_xlnm.Print_Area" localSheetId="0">本班组!$A$2:$AG$209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何玲珑</author>
  </authors>
  <commentList>
    <comment ref="U16" authorId="0">
      <text>
        <r>
          <rPr>
            <sz val="10"/>
            <rFont val="宋体"/>
            <charset val="134"/>
          </rPr>
          <t>Dell:
工程组态-系统总览-点中燃油系统-测点信息</t>
        </r>
      </text>
    </comment>
    <comment ref="AD35" authorId="1">
      <text>
        <r>
          <rPr>
            <sz val="10"/>
            <rFont val="宋体"/>
            <charset val="134"/>
          </rPr>
          <t>何玲珑:
以水处理厂家药剂处理而定</t>
        </r>
      </text>
    </comment>
  </commentList>
</comments>
</file>

<file path=xl/sharedStrings.xml><?xml version="1.0" encoding="utf-8"?>
<sst xmlns="http://schemas.openxmlformats.org/spreadsheetml/2006/main" count="784" uniqueCount="491">
  <si>
    <t>班次</t>
  </si>
  <si>
    <t>天气：</t>
  </si>
  <si>
    <t>室外温度（℃）：</t>
  </si>
  <si>
    <t>室外湿度：</t>
  </si>
  <si>
    <t>室外湿球温度（℃）：</t>
  </si>
  <si>
    <t>一、【本班遗留故障情况】</t>
  </si>
  <si>
    <t>编号</t>
  </si>
  <si>
    <t>发生日期</t>
  </si>
  <si>
    <t>楼栋</t>
  </si>
  <si>
    <t>专业</t>
  </si>
  <si>
    <t>故障内容</t>
  </si>
  <si>
    <t>责任人</t>
  </si>
  <si>
    <t>等级</t>
  </si>
  <si>
    <t>遗留时长</t>
  </si>
  <si>
    <t>备注</t>
  </si>
  <si>
    <t>/</t>
  </si>
  <si>
    <t>二、【交接班组】</t>
  </si>
  <si>
    <t>FM运维值班团队</t>
  </si>
  <si>
    <t>交班:</t>
  </si>
  <si>
    <t>接班：</t>
  </si>
  <si>
    <t>晨会到场工程师</t>
  </si>
  <si>
    <t>应急人员（15min）</t>
  </si>
  <si>
    <t>三、【监控中心当前运营状态】</t>
  </si>
  <si>
    <t>接班未恢复告警：0</t>
  </si>
  <si>
    <t>告警总数</t>
  </si>
  <si>
    <t>变化率：</t>
  </si>
  <si>
    <t>告警原因：</t>
  </si>
  <si>
    <t>交班未恢复告警：0</t>
  </si>
  <si>
    <t>四、【电气】</t>
  </si>
  <si>
    <t>E楼</t>
  </si>
  <si>
    <t>线路名称</t>
  </si>
  <si>
    <t>8小时平均功率</t>
  </si>
  <si>
    <t>平均负载率</t>
  </si>
  <si>
    <t>变化率</t>
  </si>
  <si>
    <t>A区油罐</t>
  </si>
  <si>
    <t>B区油罐</t>
  </si>
  <si>
    <t>10kVⅠ 段</t>
  </si>
  <si>
    <t>KW</t>
  </si>
  <si>
    <t>室外柴发储油罐</t>
  </si>
  <si>
    <t>交班油量（L）</t>
  </si>
  <si>
    <t>10kVⅡ 段</t>
  </si>
  <si>
    <t>本班油量（L）</t>
  </si>
  <si>
    <t>10kVⅢ 段</t>
  </si>
  <si>
    <t>10kVⅣ 段</t>
  </si>
  <si>
    <t>供油可用时长（H）</t>
  </si>
  <si>
    <t>变压器负载率（MAX）</t>
  </si>
  <si>
    <t>燃油当前总储量（T）</t>
  </si>
  <si>
    <t>HVDC负载率（MAX）</t>
  </si>
  <si>
    <t>柴发带载百分比（max）</t>
  </si>
  <si>
    <t>UPS负载率（MAX）</t>
  </si>
  <si>
    <t>柴发自动状态（台）</t>
  </si>
  <si>
    <t>自动</t>
  </si>
  <si>
    <t>手动</t>
  </si>
  <si>
    <t>五、【暖通】</t>
  </si>
  <si>
    <t>制冷单元系统</t>
  </si>
  <si>
    <t>西区</t>
  </si>
  <si>
    <t>东区</t>
  </si>
  <si>
    <t>制冷量（KW）</t>
  </si>
  <si>
    <t>一次流量（m³/h）</t>
  </si>
  <si>
    <t>二次流量（m³/h）</t>
  </si>
  <si>
    <t>蓄冷流量（m³/h）</t>
  </si>
  <si>
    <t>蓄冷罐可用时长(分钟）</t>
  </si>
  <si>
    <t>西区：</t>
  </si>
  <si>
    <t>机组编号</t>
  </si>
  <si>
    <t>2#制冷单元 →板换模式</t>
  </si>
  <si>
    <t>5#制冷单元 →板换模式</t>
  </si>
  <si>
    <t>东区：</t>
  </si>
  <si>
    <t>设备</t>
  </si>
  <si>
    <t>冷机</t>
  </si>
  <si>
    <t>冷塔</t>
  </si>
  <si>
    <t>冷却泵</t>
  </si>
  <si>
    <t>一次泵</t>
  </si>
  <si>
    <t>板换</t>
  </si>
  <si>
    <t>补水可用时间（H）</t>
  </si>
  <si>
    <t>运行负荷</t>
  </si>
  <si>
    <t>冷却进水温度(℃)</t>
  </si>
  <si>
    <t>冷却进水压力（Mpa）</t>
  </si>
  <si>
    <t>本月总用水量m3</t>
  </si>
  <si>
    <t>冷冻水供水温度
(℃)</t>
  </si>
  <si>
    <t>频率(HZ)</t>
  </si>
  <si>
    <t>1#</t>
  </si>
  <si>
    <t>2#</t>
  </si>
  <si>
    <t>冷却出水温度(℃)</t>
  </si>
  <si>
    <t>冷却出水压力（Mpa）</t>
  </si>
  <si>
    <t>补水罐液位
西m</t>
  </si>
  <si>
    <t>冷却水进水温度
(℃)</t>
  </si>
  <si>
    <t>冷塔温度
设定值</t>
  </si>
  <si>
    <t>进水压力(Mpa)</t>
  </si>
  <si>
    <t>冷冻进水温度(℃)</t>
  </si>
  <si>
    <t>冷却进出水压差（Mpa）</t>
  </si>
  <si>
    <t>补水罐液位
东m</t>
  </si>
  <si>
    <t>冷凝压力
(Kpa)</t>
  </si>
  <si>
    <t>进水温度(℃)</t>
  </si>
  <si>
    <t>出水压力(Mpa)</t>
  </si>
  <si>
    <t>冷冻出水温度(℃)</t>
  </si>
  <si>
    <t>冷冻进水压力（Mpa）</t>
  </si>
  <si>
    <t>补水罐总储备量m3</t>
  </si>
  <si>
    <t>蒸发器小温差（℃）</t>
  </si>
  <si>
    <t>出水温度(℃)</t>
  </si>
  <si>
    <t>PH</t>
  </si>
  <si>
    <t>板换小温差（℃）</t>
  </si>
  <si>
    <t>冷冻出水压力（Mpa）</t>
  </si>
  <si>
    <t>暖通主要控制点
（依据实际控制点进行确定）</t>
  </si>
  <si>
    <t>冷凝器小温差（℃）</t>
  </si>
  <si>
    <t>电导率us/cm</t>
  </si>
  <si>
    <t>冷冻进出水压差（Mpa）</t>
  </si>
  <si>
    <t>单元 → 模式</t>
  </si>
  <si>
    <t>≤3</t>
  </si>
  <si>
    <t>PH（25℃）</t>
  </si>
  <si>
    <t>7.5-9.0</t>
  </si>
  <si>
    <t>＜1500</t>
  </si>
  <si>
    <t>包间温度（℃）</t>
  </si>
  <si>
    <t>24±2</t>
  </si>
  <si>
    <t>包间湿度（%）</t>
  </si>
  <si>
    <t>30-60</t>
  </si>
  <si>
    <t>电池间温度（℃）</t>
  </si>
  <si>
    <t>15-25</t>
  </si>
  <si>
    <t>制冷冗余</t>
  </si>
  <si>
    <t>1用2备</t>
  </si>
  <si>
    <t>二次泵系统</t>
  </si>
  <si>
    <t>主DDC
运行状态</t>
  </si>
  <si>
    <t>启用</t>
  </si>
  <si>
    <t>末端压差设定值</t>
  </si>
  <si>
    <t>末端压差最小值(Mpa)</t>
  </si>
  <si>
    <t>末端压差最大值(Mpa)</t>
  </si>
  <si>
    <t>末端压差设定值(Mpa)</t>
  </si>
  <si>
    <t>备DDC
运行状态</t>
  </si>
  <si>
    <t>备用</t>
  </si>
  <si>
    <t>2#二次泵</t>
  </si>
  <si>
    <t>5#二次泵</t>
  </si>
  <si>
    <t>频率
（Hz）</t>
  </si>
  <si>
    <t>二次泵进口压力（Mpa）</t>
  </si>
  <si>
    <t>二次泵出口压力（Mpa）</t>
  </si>
  <si>
    <t>压差
（Mpa）</t>
  </si>
  <si>
    <t>二次泵
冗余</t>
  </si>
  <si>
    <t>六、【设备变更】</t>
  </si>
  <si>
    <t>七、【施工情况】</t>
  </si>
  <si>
    <t>八、【MOP维保】</t>
  </si>
  <si>
    <t>九、【消防报警】</t>
  </si>
  <si>
    <t>十、【容量管理】</t>
  </si>
  <si>
    <t>110KV变电站</t>
  </si>
  <si>
    <t>机柜总数</t>
  </si>
  <si>
    <t>已上电机柜数</t>
  </si>
  <si>
    <t>IT机柜总
上电率</t>
  </si>
  <si>
    <t>进线</t>
  </si>
  <si>
    <t>线电压</t>
  </si>
  <si>
    <t>电流</t>
  </si>
  <si>
    <t>当前功率KW</t>
  </si>
  <si>
    <t>功率因数</t>
  </si>
  <si>
    <t>负载率</t>
  </si>
  <si>
    <t>每日用水量m3</t>
  </si>
  <si>
    <t>每日用电量kwh</t>
  </si>
  <si>
    <t>本月用电量kwh</t>
  </si>
  <si>
    <t>阿开</t>
  </si>
  <si>
    <t>阿家</t>
  </si>
  <si>
    <t>输出电流</t>
  </si>
  <si>
    <t>总功率KW</t>
  </si>
  <si>
    <t>IT总功率KW</t>
  </si>
  <si>
    <t>PUE</t>
  </si>
  <si>
    <t>IT规划负载</t>
  </si>
  <si>
    <t>IT实际负载</t>
  </si>
  <si>
    <t>IT负载率</t>
  </si>
  <si>
    <t>1#主变</t>
  </si>
  <si>
    <t>2#主变</t>
  </si>
  <si>
    <t>3#主变</t>
  </si>
  <si>
    <t>4#主变</t>
  </si>
  <si>
    <t>配电间</t>
  </si>
  <si>
    <t>变压器</t>
  </si>
  <si>
    <t>状态</t>
  </si>
  <si>
    <t>温度℃</t>
  </si>
  <si>
    <t>功率KW</t>
  </si>
  <si>
    <t>负载率%</t>
  </si>
  <si>
    <t>母联状态</t>
  </si>
  <si>
    <t>UPS</t>
  </si>
  <si>
    <t>输出功率KW</t>
  </si>
  <si>
    <t>运行
状态</t>
  </si>
  <si>
    <t>电池正极电压V</t>
  </si>
  <si>
    <t>输出电压V</t>
  </si>
  <si>
    <t>HVDC</t>
  </si>
  <si>
    <t>浮充电压V</t>
  </si>
  <si>
    <t>输出功率kw</t>
  </si>
  <si>
    <t>直流列头柜</t>
  </si>
  <si>
    <t>机房</t>
  </si>
  <si>
    <t>机房IT负载KW</t>
  </si>
  <si>
    <t>IT负载率%</t>
  </si>
  <si>
    <t>机柜总量</t>
  </si>
  <si>
    <t>已上电机柜量</t>
  </si>
  <si>
    <t>机柜上电率</t>
  </si>
  <si>
    <t>空调启台数</t>
  </si>
  <si>
    <t>空调冗余台数</t>
  </si>
  <si>
    <t>空调负载KW</t>
  </si>
  <si>
    <t>M1</t>
  </si>
  <si>
    <t>-245-TR-101</t>
  </si>
  <si>
    <t>正常</t>
  </si>
  <si>
    <t>自投自复</t>
  </si>
  <si>
    <t>-245-UPS-101</t>
  </si>
  <si>
    <t>-245-HVDC-102</t>
  </si>
  <si>
    <t>-202-RPP-DC-001</t>
  </si>
  <si>
    <t>南侧</t>
  </si>
  <si>
    <t>-245-HVDC-112</t>
  </si>
  <si>
    <t>-202-RPP-DC-003</t>
  </si>
  <si>
    <t>-245-HVDC-122</t>
  </si>
  <si>
    <t>-202-RPP-DC-005</t>
  </si>
  <si>
    <t>-245-HVDC-132</t>
  </si>
  <si>
    <t>-202-RPP-DC-007</t>
  </si>
  <si>
    <t>-245-HVDC-142</t>
  </si>
  <si>
    <t>-202-RPP-DC-009</t>
  </si>
  <si>
    <t>-245-HVDC-152</t>
  </si>
  <si>
    <t>-202-RPP-DC-011</t>
  </si>
  <si>
    <t>-245-HVDC-162</t>
  </si>
  <si>
    <t>-202-RPP-DC-013</t>
  </si>
  <si>
    <t>-245-HVDC-172</t>
  </si>
  <si>
    <t>-202-RPP-DC-015</t>
  </si>
  <si>
    <t>-245-HVDC-182</t>
  </si>
  <si>
    <t>-202-RPP-DC-017</t>
  </si>
  <si>
    <t>-245-HVDC-192</t>
  </si>
  <si>
    <t>-202-RPP-DC-019</t>
  </si>
  <si>
    <t>-245-TR-102</t>
  </si>
  <si>
    <t>-245-HVDC-202</t>
  </si>
  <si>
    <t>-202-RPP-DC-002</t>
  </si>
  <si>
    <t>北侧</t>
  </si>
  <si>
    <t>-245-HVDC-212</t>
  </si>
  <si>
    <t>-202-RPP-DC-004</t>
  </si>
  <si>
    <t>-245-HVDC-222</t>
  </si>
  <si>
    <t>-202-RPP-DC-006</t>
  </si>
  <si>
    <t>-245-HVDC-232</t>
  </si>
  <si>
    <t>-202-RPP-DC-008</t>
  </si>
  <si>
    <t>-245-HVDC-242</t>
  </si>
  <si>
    <t>-202-RPP-DC-010</t>
  </si>
  <si>
    <t>-245-HVDC-252</t>
  </si>
  <si>
    <t>-202-RPP-DC-012</t>
  </si>
  <si>
    <t>-245-HVDC-262</t>
  </si>
  <si>
    <t>-202-RPP-DC-014</t>
  </si>
  <si>
    <t>-245-HVDC-272</t>
  </si>
  <si>
    <t>-202-RPP-DC-016</t>
  </si>
  <si>
    <t>-245-HVDC-282</t>
  </si>
  <si>
    <t>-202-RPP-DC-018</t>
  </si>
  <si>
    <t>-245-HVDC-292</t>
  </si>
  <si>
    <t>-202-RPP-DC-020</t>
  </si>
  <si>
    <t>M2</t>
  </si>
  <si>
    <t>-218-TR-201</t>
  </si>
  <si>
    <t>-218-UPS-101</t>
  </si>
  <si>
    <t>-218-HVDC-102</t>
  </si>
  <si>
    <t>-201-RPP-DC-001</t>
  </si>
  <si>
    <t>-218-HVDC-112</t>
  </si>
  <si>
    <t>-201-RPP-DC-003</t>
  </si>
  <si>
    <t>-218-HVDC-122</t>
  </si>
  <si>
    <t>-201-RPP-DC-005</t>
  </si>
  <si>
    <t>-218-HVDC-132</t>
  </si>
  <si>
    <t>-201-RPP-DC-007</t>
  </si>
  <si>
    <t>-218-HVDC-142</t>
  </si>
  <si>
    <t>-201-RPP-DC-009</t>
  </si>
  <si>
    <t>-218-HVDC-152</t>
  </si>
  <si>
    <t>-201-RPP-DC-011</t>
  </si>
  <si>
    <t>-218-HVDC-162</t>
  </si>
  <si>
    <t>-201-RPP-DC-013</t>
  </si>
  <si>
    <t>-218-HVDC-172</t>
  </si>
  <si>
    <t>-201-RPP-DC-015</t>
  </si>
  <si>
    <t>-218-HVDC-182</t>
  </si>
  <si>
    <t>-201-RPP-DC-017</t>
  </si>
  <si>
    <t>-218-HVDC-192</t>
  </si>
  <si>
    <t>-201-RPP-DC-019</t>
  </si>
  <si>
    <t>-218-TR-202</t>
  </si>
  <si>
    <t>-218-HVDC-202</t>
  </si>
  <si>
    <t>-201-RPP-DC-002</t>
  </si>
  <si>
    <t>-218-HVDC-212</t>
  </si>
  <si>
    <t>-201-RPP-DC-004</t>
  </si>
  <si>
    <t>-218-HVDC-222</t>
  </si>
  <si>
    <t>-201-RPP-DC-006</t>
  </si>
  <si>
    <t>-218-HVDC-232</t>
  </si>
  <si>
    <t>-201-RPP-DC-008</t>
  </si>
  <si>
    <t>-218-HVDC-242</t>
  </si>
  <si>
    <t>-201-RPP-DC-010</t>
  </si>
  <si>
    <t>-218-HVDC-252</t>
  </si>
  <si>
    <t>-201-RPP-DC-012</t>
  </si>
  <si>
    <t>-218-HVDC-262</t>
  </si>
  <si>
    <t>-201-RPP-DC-014</t>
  </si>
  <si>
    <t>-218-HVDC-272</t>
  </si>
  <si>
    <t>-201-RPP-DC-016</t>
  </si>
  <si>
    <t>-218-HVDC-282</t>
  </si>
  <si>
    <t>-201-RPP-DC-018</t>
  </si>
  <si>
    <t>-218-HVDC-292</t>
  </si>
  <si>
    <t>-201-RPP-DC-020</t>
  </si>
  <si>
    <t>M3</t>
  </si>
  <si>
    <t>-345-TR-101</t>
  </si>
  <si>
    <t>-345-UPS-101</t>
  </si>
  <si>
    <t>-345-HVDC-102</t>
  </si>
  <si>
    <t>-302-RPP-DC-001</t>
  </si>
  <si>
    <t>-345-HVDC-112</t>
  </si>
  <si>
    <t>-302-RPP-DC-003</t>
  </si>
  <si>
    <t>-345-HVDC-122</t>
  </si>
  <si>
    <t>-302-RPP-DC-005</t>
  </si>
  <si>
    <t>-345-HVDC-132</t>
  </si>
  <si>
    <t>-302-RPP-DC-007</t>
  </si>
  <si>
    <t>-345-HVDC-142</t>
  </si>
  <si>
    <t>-302-RPP-DC-009</t>
  </si>
  <si>
    <t>-345-HVDC-152</t>
  </si>
  <si>
    <t>-302-RPP-DC-011</t>
  </si>
  <si>
    <t>-345-HVDC-162</t>
  </si>
  <si>
    <t>-302-RPP-DC-013</t>
  </si>
  <si>
    <t>-345-HVDC-172</t>
  </si>
  <si>
    <t>-302-RPP-DC-015</t>
  </si>
  <si>
    <t>-345-HVDC-182</t>
  </si>
  <si>
    <t>-302-RPP-DC-017</t>
  </si>
  <si>
    <t>-345-HVDC-192</t>
  </si>
  <si>
    <t>-302-RPP-DC-019</t>
  </si>
  <si>
    <t>-345-TR-102</t>
  </si>
  <si>
    <t>-345-HVDC-202</t>
  </si>
  <si>
    <t>-302-RPP-DC-002</t>
  </si>
  <si>
    <t>-345-HVDC-212</t>
  </si>
  <si>
    <t>-302-RPP-DC-004</t>
  </si>
  <si>
    <t>-345-HVDC-222</t>
  </si>
  <si>
    <t>-302-RPP-DC-006</t>
  </si>
  <si>
    <t>-345-HVDC-232</t>
  </si>
  <si>
    <t>-302-RPP-DC-008</t>
  </si>
  <si>
    <t>-345-HVDC-242</t>
  </si>
  <si>
    <t>-302-RPP-DC-010</t>
  </si>
  <si>
    <t>-345-HVDC-252</t>
  </si>
  <si>
    <t>-302-RPP-DC-012</t>
  </si>
  <si>
    <t>-345-HVDC-262</t>
  </si>
  <si>
    <t>-302-RPP-DC-014</t>
  </si>
  <si>
    <t>-345-HVDC-272</t>
  </si>
  <si>
    <t>-302-RPP-DC-016</t>
  </si>
  <si>
    <t>-345-HVDC-282</t>
  </si>
  <si>
    <t>-302-RPP-DC-018</t>
  </si>
  <si>
    <t>-345-HVDC-292</t>
  </si>
  <si>
    <t>-302-RPP-DC-020</t>
  </si>
  <si>
    <t>M4</t>
  </si>
  <si>
    <t>-317-TR-201</t>
  </si>
  <si>
    <t>-317-UPS-101</t>
  </si>
  <si>
    <t>-317-HVDC-102</t>
  </si>
  <si>
    <t>-301-RPP-DC-001</t>
  </si>
  <si>
    <t>-317-HVDC-112</t>
  </si>
  <si>
    <t>-301-RPP-DC-003</t>
  </si>
  <si>
    <t>-317-HVDC-122</t>
  </si>
  <si>
    <t>-301-RPP-DC-005</t>
  </si>
  <si>
    <t>-317-HVDC-132</t>
  </si>
  <si>
    <t>-301-RPP-DC-007</t>
  </si>
  <si>
    <t>-317-HVDC-142</t>
  </si>
  <si>
    <t>-301-RPP-DC-009</t>
  </si>
  <si>
    <t>-317-HVDC-152</t>
  </si>
  <si>
    <t>-301-RPP-DC-011</t>
  </si>
  <si>
    <t>-317-HVDC-162</t>
  </si>
  <si>
    <t>-301-RPP-DC-013</t>
  </si>
  <si>
    <t>-317-HVDC-172</t>
  </si>
  <si>
    <t>-301-RPP-DC-015</t>
  </si>
  <si>
    <t>-317-HVDC-182</t>
  </si>
  <si>
    <t>-301-RPP-DC-017</t>
  </si>
  <si>
    <t>-317-HVDC-192</t>
  </si>
  <si>
    <t>-301-RPP-DC-019</t>
  </si>
  <si>
    <t>-317-TR-202</t>
  </si>
  <si>
    <t>-317-HVDC-202</t>
  </si>
  <si>
    <t>-301-RPP-DC-002</t>
  </si>
  <si>
    <t>-317-HVDC-212</t>
  </si>
  <si>
    <t>-301-RPP-DC-004</t>
  </si>
  <si>
    <t>-317-HVDC-222</t>
  </si>
  <si>
    <t>-301-RPP-DC-006</t>
  </si>
  <si>
    <t>-317-HVDC-232</t>
  </si>
  <si>
    <t>-301-RPP-DC-008</t>
  </si>
  <si>
    <t>-317-HVDC-242</t>
  </si>
  <si>
    <t>-301-RPP-DC-010</t>
  </si>
  <si>
    <t>-317-HVDC-252</t>
  </si>
  <si>
    <t>-301-RPP-DC-012</t>
  </si>
  <si>
    <t>-317-HVDC-262</t>
  </si>
  <si>
    <t>-301-RPP-DC-014</t>
  </si>
  <si>
    <t>-317-HVDC-272</t>
  </si>
  <si>
    <t>-301-RPP-DC-016</t>
  </si>
  <si>
    <t>-317-HVDC-282</t>
  </si>
  <si>
    <t>-301-RPP-DC-018</t>
  </si>
  <si>
    <t>-317-HVDC-292</t>
  </si>
  <si>
    <t>-301-RPP-DC-020</t>
  </si>
  <si>
    <t>M5</t>
  </si>
  <si>
    <t>-445-TR-101</t>
  </si>
  <si>
    <t>-445-UPS-101</t>
  </si>
  <si>
    <t>-445-HVDC-102</t>
  </si>
  <si>
    <t>-402-RPP-DC-001</t>
  </si>
  <si>
    <t>-445-HVDC-112</t>
  </si>
  <si>
    <t>-402-RPP-DC-003</t>
  </si>
  <si>
    <t>-445-HVDC-122</t>
  </si>
  <si>
    <t>-402-RPP-DC-005</t>
  </si>
  <si>
    <t>-445-HVDC-132</t>
  </si>
  <si>
    <t>-402-RPP-DC-007</t>
  </si>
  <si>
    <t>-445-HVDC-142</t>
  </si>
  <si>
    <t>-402-RPP-DC-009</t>
  </si>
  <si>
    <t>-445-HVDC-152</t>
  </si>
  <si>
    <t>-402-RPP-DC-011</t>
  </si>
  <si>
    <t>-445-HVDC-162</t>
  </si>
  <si>
    <t>-402-RPP-DC-013</t>
  </si>
  <si>
    <t>-445-HVDC-172</t>
  </si>
  <si>
    <t>-402-RPP-DC-015</t>
  </si>
  <si>
    <t>-445-HVDC-182</t>
  </si>
  <si>
    <t>-402-RPP-DC-017</t>
  </si>
  <si>
    <t>-445-HVDC-192</t>
  </si>
  <si>
    <t>-402-RPP-DC-019</t>
  </si>
  <si>
    <t>-445-TR-102</t>
  </si>
  <si>
    <t>-445-HVDC-202</t>
  </si>
  <si>
    <t>-402-RPP-DC-002</t>
  </si>
  <si>
    <t>-445-HVDC-212</t>
  </si>
  <si>
    <t>-402-RPP-DC-004</t>
  </si>
  <si>
    <t>-445-HVDC-222</t>
  </si>
  <si>
    <t>-402-RPP-DC-006</t>
  </si>
  <si>
    <t>-445-HVDC-232</t>
  </si>
  <si>
    <t>-402-RPP-DC-008</t>
  </si>
  <si>
    <t>-445-HVDC-242</t>
  </si>
  <si>
    <t>-402-RPP-DC-010</t>
  </si>
  <si>
    <t>-445-HVDC-252</t>
  </si>
  <si>
    <t>-402-RPP-DC-012</t>
  </si>
  <si>
    <t>-445-HVDC-262</t>
  </si>
  <si>
    <t>-402-RPP-DC-014</t>
  </si>
  <si>
    <t>-445-HVDC-272</t>
  </si>
  <si>
    <t>-402-RPP-DC-016</t>
  </si>
  <si>
    <t>-445-HVDC-282</t>
  </si>
  <si>
    <t>-402-RPP-DC-018</t>
  </si>
  <si>
    <t>-445-HVDC-292</t>
  </si>
  <si>
    <t>-402-RPP-DC-020</t>
  </si>
  <si>
    <t>M6</t>
  </si>
  <si>
    <t>-417-TR-201</t>
  </si>
  <si>
    <t>-417-UPS-101</t>
  </si>
  <si>
    <t>-417-HVDC-102</t>
  </si>
  <si>
    <t>-401-RPP-DC-001</t>
  </si>
  <si>
    <t>-417-HVDC-112</t>
  </si>
  <si>
    <t>-401-RPP-DC-003</t>
  </si>
  <si>
    <t>-417-HVDC-122</t>
  </si>
  <si>
    <t>-401-RPP-DC-005</t>
  </si>
  <si>
    <t>-417-HVDC-132</t>
  </si>
  <si>
    <t>-401-RPP-DC-007</t>
  </si>
  <si>
    <t>-417-HVDC-142</t>
  </si>
  <si>
    <t>-401-RPP-DC-009</t>
  </si>
  <si>
    <t>-417-HVDC-152</t>
  </si>
  <si>
    <t>-401-RPP-DC-011</t>
  </si>
  <si>
    <t>-417-HVDC-162</t>
  </si>
  <si>
    <t>-401-RPP-DC-013</t>
  </si>
  <si>
    <t>-417-HVDC-172</t>
  </si>
  <si>
    <t>-401-RPP-DC-015</t>
  </si>
  <si>
    <t>-417-HVDC-182</t>
  </si>
  <si>
    <t>-401-RPP-DC-017</t>
  </si>
  <si>
    <t>-417-HVDC-192</t>
  </si>
  <si>
    <t>-401-RPP-DC-019</t>
  </si>
  <si>
    <t>-417-TR-202</t>
  </si>
  <si>
    <t>-417-HVDC-202</t>
  </si>
  <si>
    <t>-401-RPP-DC-002</t>
  </si>
  <si>
    <t>-417-HVDC-212</t>
  </si>
  <si>
    <t>-401-RPP-DC-004</t>
  </si>
  <si>
    <t>-417-HVDC-222</t>
  </si>
  <si>
    <t>-401-RPP-DC-006</t>
  </si>
  <si>
    <t>-417-HVDC-232</t>
  </si>
  <si>
    <t>-401-RPP-DC-008</t>
  </si>
  <si>
    <t>-417-HVDC-242</t>
  </si>
  <si>
    <t>-401-RPP-DC-010</t>
  </si>
  <si>
    <t>-417-HVDC-252</t>
  </si>
  <si>
    <t>-401-RPP-DC-012</t>
  </si>
  <si>
    <t>-417-HVDC-262</t>
  </si>
  <si>
    <t>-401-RPP-DC-014</t>
  </si>
  <si>
    <t>-417-HVDC-272</t>
  </si>
  <si>
    <t>-401-RPP-DC-016</t>
  </si>
  <si>
    <t>-417-HVDC-282</t>
  </si>
  <si>
    <t>-401-RPP-DC-018</t>
  </si>
  <si>
    <t>-417-HVDC-292</t>
  </si>
  <si>
    <t>-401-RPP-DC-020</t>
  </si>
  <si>
    <t>P1</t>
  </si>
  <si>
    <t>-144-TR-101</t>
  </si>
  <si>
    <t>-144-UPS-101</t>
  </si>
  <si>
    <t>-144-TR-102</t>
  </si>
  <si>
    <t>-144-UPS-201</t>
  </si>
  <si>
    <t>P2</t>
  </si>
  <si>
    <t>-120-TR-201</t>
  </si>
  <si>
    <t>-120-UPS-101</t>
  </si>
  <si>
    <t>-120-TR-202</t>
  </si>
  <si>
    <t>-120-UPS-201</t>
  </si>
  <si>
    <t>仅需修改绿色部分</t>
  </si>
  <si>
    <t>1#油罐</t>
  </si>
  <si>
    <t>2#油罐</t>
  </si>
  <si>
    <t>1#油箱</t>
  </si>
  <si>
    <t>2#油箱</t>
  </si>
  <si>
    <t>3#油箱</t>
  </si>
  <si>
    <t>4#油箱</t>
  </si>
  <si>
    <t>5#油箱</t>
  </si>
  <si>
    <t>6#油箱</t>
  </si>
  <si>
    <t>7#油箱</t>
  </si>
  <si>
    <t>8#油箱</t>
  </si>
  <si>
    <t>9#油箱</t>
  </si>
  <si>
    <t>10#油箱</t>
  </si>
  <si>
    <t>11#油箱</t>
  </si>
  <si>
    <t>12#油箱</t>
  </si>
  <si>
    <t>13#油箱</t>
  </si>
  <si>
    <t>14#油箱</t>
  </si>
  <si>
    <t>总油量</t>
  </si>
  <si>
    <t>油位cm</t>
  </si>
  <si>
    <t>储油量（L）</t>
  </si>
  <si>
    <t>储油量（t）(注：柴油密度取0.86kg/L)</t>
  </si>
  <si>
    <t>罐储油量参照表：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</si>
</sst>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.00_);[Red]\(0.00\)"/>
    <numFmt numFmtId="179" formatCode="0.0_ "/>
  </numFmts>
  <fonts count="4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等线"/>
      <charset val="134"/>
    </font>
    <font>
      <sz val="14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6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b/>
      <sz val="11"/>
      <color theme="1"/>
      <name val="宋体"/>
      <charset val="134"/>
      <scheme val="minor"/>
    </font>
    <font>
      <sz val="16"/>
      <color rgb="FFFFFFFF"/>
      <name val="等线"/>
      <charset val="134"/>
    </font>
    <font>
      <b/>
      <sz val="16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9"/>
      <color indexed="8"/>
      <name val="等线"/>
      <charset val="134"/>
    </font>
    <font>
      <sz val="9"/>
      <name val="SimSun"/>
      <charset val="134"/>
    </font>
    <font>
      <sz val="9"/>
      <color theme="1"/>
      <name val="等线"/>
      <charset val="134"/>
    </font>
    <font>
      <sz val="9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0071C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0" fillId="11" borderId="33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34">
      <alignment vertical="center"/>
    </xf>
    <xf numFmtId="0" fontId="28" fillId="0" borderId="34">
      <alignment vertical="center"/>
    </xf>
    <xf numFmtId="0" fontId="29" fillId="0" borderId="35">
      <alignment vertical="center"/>
    </xf>
    <xf numFmtId="0" fontId="29" fillId="0" borderId="0">
      <alignment vertical="center"/>
    </xf>
    <xf numFmtId="0" fontId="30" fillId="12" borderId="36">
      <alignment vertical="center"/>
    </xf>
    <xf numFmtId="0" fontId="31" fillId="13" borderId="37">
      <alignment vertical="center"/>
    </xf>
    <xf numFmtId="0" fontId="32" fillId="13" borderId="36">
      <alignment vertical="center"/>
    </xf>
    <xf numFmtId="0" fontId="33" fillId="14" borderId="38">
      <alignment vertical="center"/>
    </xf>
    <xf numFmtId="0" fontId="34" fillId="0" borderId="39">
      <alignment vertical="center"/>
    </xf>
    <xf numFmtId="0" fontId="35" fillId="0" borderId="40">
      <alignment vertical="center"/>
    </xf>
    <xf numFmtId="0" fontId="36" fillId="15" borderId="0">
      <alignment vertical="center"/>
    </xf>
    <xf numFmtId="0" fontId="37" fillId="16" borderId="0">
      <alignment vertical="center"/>
    </xf>
    <xf numFmtId="0" fontId="38" fillId="17" borderId="0">
      <alignment vertical="center"/>
    </xf>
    <xf numFmtId="0" fontId="39" fillId="18" borderId="0">
      <alignment vertical="center"/>
    </xf>
    <xf numFmtId="0" fontId="40" fillId="19" borderId="0">
      <alignment vertical="center"/>
    </xf>
    <xf numFmtId="0" fontId="40" fillId="4" borderId="0">
      <alignment vertical="center"/>
    </xf>
    <xf numFmtId="0" fontId="39" fillId="20" borderId="0">
      <alignment vertical="center"/>
    </xf>
    <xf numFmtId="0" fontId="39" fillId="21" borderId="0">
      <alignment vertical="center"/>
    </xf>
    <xf numFmtId="0" fontId="40" fillId="22" borderId="0">
      <alignment vertical="center"/>
    </xf>
    <xf numFmtId="0" fontId="40" fillId="23" borderId="0">
      <alignment vertical="center"/>
    </xf>
    <xf numFmtId="0" fontId="39" fillId="24" borderId="0">
      <alignment vertical="center"/>
    </xf>
    <xf numFmtId="0" fontId="39" fillId="25" borderId="0">
      <alignment vertical="center"/>
    </xf>
    <xf numFmtId="0" fontId="40" fillId="26" borderId="0">
      <alignment vertical="center"/>
    </xf>
    <xf numFmtId="0" fontId="40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40" fillId="30" borderId="0">
      <alignment vertical="center"/>
    </xf>
    <xf numFmtId="0" fontId="40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40" fillId="34" borderId="0">
      <alignment vertical="center"/>
    </xf>
    <xf numFmtId="0" fontId="40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40" fillId="38" borderId="0">
      <alignment vertical="center"/>
    </xf>
    <xf numFmtId="0" fontId="40" fillId="39" borderId="0">
      <alignment vertical="center"/>
    </xf>
    <xf numFmtId="0" fontId="39" fillId="40" borderId="0">
      <alignment vertical="center"/>
    </xf>
    <xf numFmtId="0" fontId="0" fillId="0" borderId="0">
      <alignment vertical="center"/>
    </xf>
  </cellStyleXfs>
  <cellXfs count="168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 applyProtection="1">
      <alignment horizontal="center" vertical="center"/>
      <protection locked="0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/>
    <xf numFmtId="31" fontId="2" fillId="4" borderId="1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2" fillId="4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2" fillId="4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/>
    <xf numFmtId="31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9" fontId="0" fillId="3" borderId="1" xfId="3" applyFill="1" applyBorder="1" applyAlignment="1">
      <alignment horizontal="center" vertical="center"/>
    </xf>
    <xf numFmtId="0" fontId="0" fillId="0" borderId="7" xfId="0" applyBorder="1" applyAlignment="1"/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10" xfId="0" applyBorder="1" applyAlignment="1"/>
    <xf numFmtId="0" fontId="0" fillId="0" borderId="11" xfId="0" applyBorder="1" applyAlignment="1"/>
    <xf numFmtId="0" fontId="6" fillId="3" borderId="1" xfId="49" applyFont="1" applyFill="1" applyBorder="1" applyAlignment="1">
      <alignment horizontal="center" vertical="center"/>
    </xf>
    <xf numFmtId="178" fontId="7" fillId="0" borderId="12" xfId="0" applyNumberFormat="1" applyFont="1" applyBorder="1" applyAlignment="1">
      <alignment horizontal="center" vertical="center" wrapText="1"/>
    </xf>
    <xf numFmtId="0" fontId="0" fillId="0" borderId="13" xfId="0" applyBorder="1" applyAlignment="1"/>
    <xf numFmtId="10" fontId="6" fillId="3" borderId="1" xfId="49" applyNumberFormat="1" applyFont="1" applyFill="1" applyBorder="1" applyAlignment="1">
      <alignment horizontal="center" vertical="center"/>
    </xf>
    <xf numFmtId="10" fontId="7" fillId="3" borderId="1" xfId="49" applyNumberFormat="1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9" xfId="0" applyBorder="1" applyAlignment="1"/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178" fontId="7" fillId="0" borderId="15" xfId="0" applyNumberFormat="1" applyFont="1" applyBorder="1" applyAlignment="1">
      <alignment horizontal="center" vertical="center" wrapText="1"/>
    </xf>
    <xf numFmtId="0" fontId="0" fillId="0" borderId="16" xfId="0" applyBorder="1" applyAlignment="1"/>
    <xf numFmtId="0" fontId="0" fillId="3" borderId="11" xfId="0" applyFill="1" applyBorder="1" applyAlignment="1">
      <alignment horizontal="center" vertical="center"/>
    </xf>
    <xf numFmtId="0" fontId="0" fillId="3" borderId="0" xfId="0" applyFill="1" applyAlignment="1"/>
    <xf numFmtId="0" fontId="0" fillId="0" borderId="17" xfId="0" applyBorder="1" applyAlignment="1"/>
    <xf numFmtId="0" fontId="0" fillId="0" borderId="18" xfId="0" applyBorder="1" applyAlignment="1"/>
    <xf numFmtId="0" fontId="0" fillId="3" borderId="18" xfId="0" applyFill="1" applyBorder="1" applyAlignment="1">
      <alignment horizontal="center" vertical="center"/>
    </xf>
    <xf numFmtId="178" fontId="7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/>
    <xf numFmtId="176" fontId="0" fillId="3" borderId="1" xfId="0" applyNumberFormat="1" applyFill="1" applyBorder="1" applyAlignment="1">
      <alignment horizontal="center" vertical="center"/>
    </xf>
    <xf numFmtId="0" fontId="6" fillId="6" borderId="1" xfId="49" applyFont="1" applyFill="1" applyBorder="1" applyAlignment="1">
      <alignment horizontal="center" vertical="center" wrapText="1"/>
    </xf>
    <xf numFmtId="0" fontId="6" fillId="6" borderId="1" xfId="49" applyNumberFormat="1" applyFont="1" applyFill="1" applyBorder="1" applyAlignment="1">
      <alignment horizontal="center" vertical="center" wrapText="1"/>
    </xf>
    <xf numFmtId="0" fontId="0" fillId="0" borderId="3" xfId="0" applyNumberFormat="1" applyBorder="1" applyAlignment="1"/>
    <xf numFmtId="0" fontId="0" fillId="0" borderId="4" xfId="0" applyNumberFormat="1" applyBorder="1" applyAlignment="1"/>
    <xf numFmtId="0" fontId="0" fillId="3" borderId="17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6" fillId="6" borderId="1" xfId="49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76" fontId="6" fillId="6" borderId="1" xfId="49" applyNumberFormat="1" applyFont="1" applyFill="1" applyBorder="1" applyAlignment="1">
      <alignment horizontal="center" vertical="center"/>
    </xf>
    <xf numFmtId="179" fontId="6" fillId="6" borderId="1" xfId="49" applyNumberFormat="1" applyFont="1" applyFill="1" applyBorder="1" applyAlignment="1">
      <alignment horizontal="center" vertical="center" wrapText="1"/>
    </xf>
    <xf numFmtId="0" fontId="0" fillId="0" borderId="9" xfId="0" applyNumberFormat="1" applyBorder="1" applyAlignment="1"/>
    <xf numFmtId="0" fontId="0" fillId="0" borderId="7" xfId="0" applyNumberFormat="1" applyBorder="1" applyAlignment="1"/>
    <xf numFmtId="0" fontId="0" fillId="0" borderId="17" xfId="0" applyNumberFormat="1" applyBorder="1" applyAlignment="1"/>
    <xf numFmtId="0" fontId="0" fillId="0" borderId="2" xfId="0" applyNumberFormat="1" applyBorder="1" applyAlignment="1"/>
    <xf numFmtId="0" fontId="0" fillId="0" borderId="18" xfId="0" applyNumberFormat="1" applyBorder="1" applyAlignment="1"/>
    <xf numFmtId="176" fontId="6" fillId="6" borderId="1" xfId="49" applyNumberFormat="1" applyFont="1" applyFill="1" applyBorder="1" applyAlignment="1">
      <alignment horizontal="center" vertical="center" wrapText="1"/>
    </xf>
    <xf numFmtId="0" fontId="6" fillId="5" borderId="1" xfId="49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1" xfId="49" applyFont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 wrapText="1"/>
    </xf>
    <xf numFmtId="0" fontId="0" fillId="6" borderId="1" xfId="3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7" borderId="21" xfId="0" applyFont="1" applyFill="1" applyBorder="1" applyAlignment="1">
      <alignment horizontal="center" vertical="center"/>
    </xf>
    <xf numFmtId="0" fontId="0" fillId="0" borderId="21" xfId="0" applyBorder="1" applyAlignment="1"/>
    <xf numFmtId="0" fontId="12" fillId="8" borderId="1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6" fillId="3" borderId="2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0" fontId="0" fillId="3" borderId="1" xfId="0" applyNumberFormat="1" applyFill="1" applyBorder="1" applyAlignment="1">
      <alignment horizontal="center" vertical="center"/>
    </xf>
    <xf numFmtId="10" fontId="14" fillId="9" borderId="20" xfId="0" applyNumberFormat="1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25" xfId="0" applyBorder="1" applyAlignment="1"/>
    <xf numFmtId="0" fontId="0" fillId="3" borderId="26" xfId="0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0" fillId="3" borderId="1" xfId="0" applyFill="1" applyBorder="1" applyAlignment="1">
      <alignment horizontal="center"/>
    </xf>
    <xf numFmtId="0" fontId="17" fillId="0" borderId="0" xfId="0" applyFont="1" applyAlignment="1">
      <alignment vertical="center"/>
    </xf>
    <xf numFmtId="0" fontId="0" fillId="3" borderId="23" xfId="0" applyFill="1" applyBorder="1" applyAlignment="1">
      <alignment horizontal="center" vertical="center" wrapText="1"/>
    </xf>
    <xf numFmtId="0" fontId="0" fillId="10" borderId="1" xfId="0" applyNumberFormat="1" applyFill="1" applyBorder="1" applyAlignment="1">
      <alignment horizontal="center" vertical="center"/>
    </xf>
    <xf numFmtId="10" fontId="14" fillId="9" borderId="0" xfId="0" applyNumberFormat="1" applyFont="1" applyFill="1" applyAlignment="1">
      <alignment vertical="center"/>
    </xf>
    <xf numFmtId="0" fontId="0" fillId="3" borderId="0" xfId="0" applyFill="1" applyAlignment="1">
      <alignment horizontal="center" vertical="center" wrapText="1"/>
    </xf>
    <xf numFmtId="10" fontId="0" fillId="3" borderId="0" xfId="0" applyNumberFormat="1" applyFill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/>
    </xf>
    <xf numFmtId="49" fontId="14" fillId="3" borderId="29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4" fillId="9" borderId="1" xfId="0" applyNumberFormat="1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 wrapText="1"/>
    </xf>
    <xf numFmtId="49" fontId="14" fillId="3" borderId="29" xfId="0" applyNumberFormat="1" applyFont="1" applyFill="1" applyBorder="1" applyAlignment="1">
      <alignment horizontal="center" vertical="center" wrapText="1"/>
    </xf>
    <xf numFmtId="0" fontId="15" fillId="3" borderId="29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/>
    <xf numFmtId="0" fontId="15" fillId="3" borderId="1" xfId="0" applyNumberFormat="1" applyFont="1" applyFill="1" applyBorder="1" applyAlignment="1">
      <alignment horizontal="center" vertical="center"/>
    </xf>
    <xf numFmtId="49" fontId="0" fillId="0" borderId="14" xfId="0" applyNumberFormat="1" applyBorder="1" applyAlignment="1"/>
    <xf numFmtId="0" fontId="0" fillId="0" borderId="10" xfId="0" applyNumberFormat="1" applyBorder="1" applyAlignment="1"/>
    <xf numFmtId="0" fontId="0" fillId="0" borderId="11" xfId="0" applyNumberFormat="1" applyBorder="1" applyAlignment="1"/>
    <xf numFmtId="0" fontId="0" fillId="0" borderId="14" xfId="0" applyNumberFormat="1" applyBorder="1" applyAlignment="1"/>
    <xf numFmtId="0" fontId="15" fillId="3" borderId="14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/>
    </xf>
    <xf numFmtId="49" fontId="21" fillId="3" borderId="1" xfId="0" applyNumberFormat="1" applyFont="1" applyFill="1" applyBorder="1" applyAlignment="1">
      <alignment horizontal="center" vertical="center"/>
    </xf>
    <xf numFmtId="49" fontId="16" fillId="3" borderId="29" xfId="0" applyNumberFormat="1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/>
    <xf numFmtId="49" fontId="14" fillId="3" borderId="1" xfId="0" applyNumberFormat="1" applyFont="1" applyFill="1" applyBorder="1" applyAlignment="1">
      <alignment horizontal="center" vertical="center" wrapText="1"/>
    </xf>
    <xf numFmtId="49" fontId="9" fillId="3" borderId="29" xfId="0" applyNumberFormat="1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49" fontId="21" fillId="3" borderId="29" xfId="0" applyNumberFormat="1" applyFont="1" applyFill="1" applyBorder="1" applyAlignment="1">
      <alignment horizontal="center" vertical="center"/>
    </xf>
    <xf numFmtId="49" fontId="0" fillId="0" borderId="7" xfId="0" applyNumberFormat="1" applyBorder="1" applyAlignment="1"/>
    <xf numFmtId="0" fontId="19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/>
    <xf numFmtId="0" fontId="15" fillId="0" borderId="3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32" xfId="0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09"/>
  <sheetViews>
    <sheetView tabSelected="1" view="pageBreakPreview" zoomScale="60" zoomScaleNormal="85" topLeftCell="A51" workbookViewId="0">
      <selection activeCell="P75" sqref="P75"/>
    </sheetView>
  </sheetViews>
  <sheetFormatPr defaultColWidth="9" defaultRowHeight="14"/>
  <cols>
    <col min="2" max="2" width="11.7727272727273" style="1" customWidth="1"/>
    <col min="3" max="3" width="9" style="1" customWidth="1"/>
    <col min="5" max="5" width="9" style="1" customWidth="1"/>
    <col min="6" max="6" width="11.9363636363636" style="1" customWidth="1"/>
    <col min="7" max="8" width="9" style="1" customWidth="1"/>
    <col min="9" max="9" width="16.4090909090909" style="1" customWidth="1"/>
    <col min="10" max="11" width="9" style="1" customWidth="1"/>
    <col min="12" max="12" width="11.9363636363636" style="1" customWidth="1"/>
    <col min="13" max="13" width="9" style="1" customWidth="1"/>
    <col min="14" max="14" width="8.74545454545455" style="1" customWidth="1"/>
    <col min="15" max="15" width="17.1090909090909" style="1" customWidth="1"/>
    <col min="16" max="18" width="9" style="1" customWidth="1"/>
    <col min="19" max="19" width="12.5909090909091" style="1" customWidth="1"/>
    <col min="20" max="21" width="9" style="1" customWidth="1"/>
    <col min="22" max="22" width="14.1545454545455" style="1" customWidth="1"/>
    <col min="23" max="24" width="9" style="1" customWidth="1"/>
    <col min="25" max="25" width="10.2545454545455" style="1" customWidth="1"/>
    <col min="26" max="27" width="9" style="1" customWidth="1"/>
    <col min="28" max="28" width="12.3363636363636" style="1" customWidth="1"/>
    <col min="31" max="31" width="11" style="1" customWidth="1"/>
  </cols>
  <sheetData>
    <row r="1" ht="18.75" customHeight="1" spans="1:31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ht="18.75" customHeight="1" spans="1:31">
      <c r="A2" s="12" t="s">
        <v>0</v>
      </c>
      <c r="B2" s="13"/>
      <c r="C2" s="14"/>
      <c r="D2" s="15"/>
      <c r="E2" s="13"/>
      <c r="F2" s="13"/>
      <c r="G2" s="13"/>
      <c r="H2" s="14"/>
      <c r="I2" s="16" t="s">
        <v>1</v>
      </c>
      <c r="J2" s="17"/>
      <c r="K2" s="18"/>
      <c r="L2" s="19"/>
      <c r="M2" s="13"/>
      <c r="N2" s="14"/>
      <c r="O2" s="20" t="s">
        <v>2</v>
      </c>
      <c r="P2" s="13"/>
      <c r="Q2" s="14"/>
      <c r="R2" s="21"/>
      <c r="S2" s="13"/>
      <c r="T2" s="14"/>
      <c r="U2" s="20" t="s">
        <v>3</v>
      </c>
      <c r="V2" s="13"/>
      <c r="W2" s="14"/>
      <c r="X2" s="22"/>
      <c r="Y2" s="20" t="s">
        <v>4</v>
      </c>
      <c r="Z2" s="13"/>
      <c r="AA2" s="14"/>
      <c r="AB2" s="21"/>
      <c r="AC2" s="14"/>
      <c r="AD2" s="23"/>
      <c r="AE2" s="24"/>
    </row>
    <row r="3" ht="13.5" customHeight="1" spans="1:31">
      <c r="A3" s="25" t="s">
        <v>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4"/>
    </row>
    <row r="4" ht="18.75" customHeight="1" spans="1:31">
      <c r="A4" s="26"/>
      <c r="B4" s="27" t="s">
        <v>6</v>
      </c>
      <c r="C4" s="27" t="s">
        <v>7</v>
      </c>
      <c r="D4" s="14"/>
      <c r="E4" s="28" t="s">
        <v>8</v>
      </c>
      <c r="F4" s="13"/>
      <c r="G4" s="27" t="s">
        <v>9</v>
      </c>
      <c r="H4" s="14"/>
      <c r="I4" s="27" t="s">
        <v>10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4"/>
      <c r="X4" s="27"/>
      <c r="Y4" s="13"/>
      <c r="Z4" s="14"/>
      <c r="AA4" s="27" t="s">
        <v>11</v>
      </c>
      <c r="AB4" s="27" t="s">
        <v>12</v>
      </c>
      <c r="AC4" s="27" t="s">
        <v>13</v>
      </c>
      <c r="AD4" s="27" t="s">
        <v>14</v>
      </c>
      <c r="AE4" s="14"/>
    </row>
    <row r="5" ht="18.75" customHeight="1" spans="1:31">
      <c r="A5" s="29"/>
      <c r="B5" s="27" t="s">
        <v>15</v>
      </c>
      <c r="C5" s="30" t="s">
        <v>15</v>
      </c>
      <c r="D5" s="14"/>
      <c r="E5" s="28"/>
      <c r="F5" s="13"/>
      <c r="G5" s="27"/>
      <c r="H5" s="14"/>
      <c r="I5" s="26" t="s">
        <v>15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4"/>
      <c r="X5" s="26" t="s">
        <v>15</v>
      </c>
      <c r="Y5" s="13"/>
      <c r="Z5" s="14"/>
      <c r="AA5" s="26" t="s">
        <v>15</v>
      </c>
      <c r="AC5" s="26" t="s">
        <v>15</v>
      </c>
      <c r="AD5" s="26" t="s">
        <v>15</v>
      </c>
      <c r="AE5" s="14"/>
    </row>
    <row r="6" ht="18" customHeight="1" spans="1:31">
      <c r="A6" s="25" t="s">
        <v>16</v>
      </c>
      <c r="B6" s="14"/>
      <c r="C6" s="28" t="s">
        <v>17</v>
      </c>
      <c r="D6" s="13"/>
      <c r="E6" s="13"/>
      <c r="F6" s="13"/>
      <c r="G6" s="27"/>
      <c r="H6" s="13"/>
      <c r="I6" s="14"/>
      <c r="J6" s="27" t="s">
        <v>18</v>
      </c>
      <c r="K6" s="13"/>
      <c r="L6" s="14"/>
      <c r="M6" s="31"/>
      <c r="P6" s="27"/>
      <c r="Q6" s="13"/>
      <c r="R6" s="14"/>
      <c r="S6" s="27" t="s">
        <v>19</v>
      </c>
      <c r="T6" s="14"/>
      <c r="U6" s="9"/>
      <c r="V6" s="13"/>
      <c r="W6" s="13"/>
      <c r="X6" s="14"/>
      <c r="Z6" s="32"/>
      <c r="AA6" s="32"/>
      <c r="AB6" s="32"/>
      <c r="AC6" s="32"/>
      <c r="AD6" s="32"/>
      <c r="AE6" s="33"/>
    </row>
    <row r="7" ht="18.75" customHeight="1" spans="1:31">
      <c r="A7" s="26"/>
      <c r="B7" s="26"/>
      <c r="C7" s="28" t="s">
        <v>20</v>
      </c>
      <c r="D7" s="13"/>
      <c r="E7" s="13"/>
      <c r="F7" s="34"/>
      <c r="G7" s="35" t="s">
        <v>15</v>
      </c>
      <c r="H7" s="13"/>
      <c r="I7" s="13"/>
      <c r="J7" s="13"/>
      <c r="K7" s="13"/>
      <c r="L7" s="13"/>
      <c r="M7" s="13"/>
      <c r="N7" s="13"/>
      <c r="O7" s="14"/>
      <c r="P7" s="27" t="s">
        <v>21</v>
      </c>
      <c r="Q7" s="13"/>
      <c r="R7" s="14"/>
      <c r="S7" s="36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/>
    </row>
    <row r="8" ht="18.75" customHeight="1" spans="1:31">
      <c r="A8" s="37" t="s">
        <v>22</v>
      </c>
      <c r="B8" s="13"/>
      <c r="C8" s="13"/>
      <c r="D8" s="13"/>
      <c r="E8" s="13"/>
      <c r="F8" s="13"/>
      <c r="G8" s="27" t="s">
        <v>23</v>
      </c>
      <c r="H8" s="13"/>
      <c r="I8" s="14"/>
      <c r="J8" s="27" t="s">
        <v>24</v>
      </c>
      <c r="K8" s="14"/>
      <c r="L8" s="35"/>
      <c r="M8" s="27" t="s">
        <v>25</v>
      </c>
      <c r="N8" s="14"/>
      <c r="O8" s="27">
        <v>0</v>
      </c>
      <c r="P8" s="27" t="s">
        <v>26</v>
      </c>
      <c r="Q8" s="13"/>
      <c r="R8" s="14"/>
      <c r="S8" s="38" t="s">
        <v>15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4"/>
    </row>
    <row r="9" ht="18.75" customHeight="1" spans="1:31">
      <c r="A9" s="39"/>
      <c r="B9" s="13"/>
      <c r="C9" s="13"/>
      <c r="D9" s="13"/>
      <c r="E9" s="13"/>
      <c r="F9" s="13"/>
      <c r="G9" s="27" t="s">
        <v>27</v>
      </c>
      <c r="H9" s="13"/>
      <c r="I9" s="14"/>
      <c r="J9" s="27" t="s">
        <v>24</v>
      </c>
      <c r="K9" s="14"/>
      <c r="M9" s="27" t="s">
        <v>25</v>
      </c>
      <c r="N9" s="14"/>
      <c r="O9" s="40" t="e">
        <f>(L8-#REF!)/#REF!*100%</f>
        <v>#REF!</v>
      </c>
      <c r="P9" s="27" t="s">
        <v>26</v>
      </c>
      <c r="Q9" s="13"/>
      <c r="R9" s="14"/>
      <c r="S9" s="38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4"/>
    </row>
    <row r="10" ht="17.5" customHeight="1" spans="1:31">
      <c r="A10" s="25" t="s">
        <v>28</v>
      </c>
      <c r="B10" s="14"/>
      <c r="C10" s="26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4"/>
    </row>
    <row r="11" ht="17.5" customHeight="1" spans="1:31">
      <c r="A11" s="27" t="s">
        <v>29</v>
      </c>
      <c r="B11" s="41"/>
      <c r="C11" s="28" t="s">
        <v>30</v>
      </c>
      <c r="D11" s="13"/>
      <c r="E11" s="13"/>
      <c r="F11" s="13"/>
      <c r="G11" s="27" t="s">
        <v>31</v>
      </c>
      <c r="H11" s="13"/>
      <c r="I11" s="14"/>
      <c r="J11" s="27" t="s">
        <v>32</v>
      </c>
      <c r="K11" s="13"/>
      <c r="L11" s="14"/>
      <c r="M11" s="27" t="s">
        <v>33</v>
      </c>
      <c r="N11" s="14"/>
      <c r="O11" s="26"/>
      <c r="P11" s="26"/>
      <c r="Q11" s="13"/>
      <c r="R11" s="13"/>
      <c r="S11" s="13"/>
      <c r="T11" s="14"/>
      <c r="U11" s="27" t="s">
        <v>34</v>
      </c>
      <c r="V11" s="13"/>
      <c r="W11" s="14"/>
      <c r="X11" s="27" t="s">
        <v>35</v>
      </c>
      <c r="Y11" s="14"/>
      <c r="Z11" s="42"/>
      <c r="AA11" s="43"/>
      <c r="AB11" s="43"/>
      <c r="AC11" s="43"/>
      <c r="AD11" s="43"/>
      <c r="AE11" s="44"/>
    </row>
    <row r="12" ht="15" customHeight="1" spans="1:31">
      <c r="A12" s="45"/>
      <c r="B12" s="46"/>
      <c r="C12" s="47" t="s">
        <v>36</v>
      </c>
      <c r="D12" s="13"/>
      <c r="E12" s="13"/>
      <c r="F12" s="14"/>
      <c r="G12" s="48"/>
      <c r="H12" s="49"/>
      <c r="I12" s="47" t="s">
        <v>37</v>
      </c>
      <c r="J12" s="50"/>
      <c r="K12" s="13"/>
      <c r="L12" s="14"/>
      <c r="M12" s="51">
        <v>0</v>
      </c>
      <c r="N12" s="14"/>
      <c r="O12" s="52"/>
      <c r="P12" s="27" t="s">
        <v>38</v>
      </c>
      <c r="Q12" s="53"/>
      <c r="R12" s="41"/>
      <c r="S12" s="54" t="s">
        <v>39</v>
      </c>
      <c r="T12" s="41"/>
      <c r="U12" s="27"/>
      <c r="V12" s="13"/>
      <c r="W12" s="14"/>
      <c r="X12" s="27"/>
      <c r="Y12" s="14"/>
      <c r="Z12" s="55"/>
      <c r="AA12" s="56"/>
      <c r="AB12" s="56"/>
      <c r="AC12" s="56"/>
      <c r="AD12" s="56"/>
      <c r="AE12" s="57"/>
    </row>
    <row r="13" ht="15" customHeight="1" spans="1:31">
      <c r="A13" s="45"/>
      <c r="B13" s="46"/>
      <c r="C13" s="47" t="s">
        <v>40</v>
      </c>
      <c r="D13" s="13"/>
      <c r="E13" s="13"/>
      <c r="F13" s="14"/>
      <c r="G13" s="58"/>
      <c r="H13" s="59"/>
      <c r="I13" s="47" t="s">
        <v>37</v>
      </c>
      <c r="J13" s="50"/>
      <c r="K13" s="13"/>
      <c r="L13" s="14"/>
      <c r="M13" s="51">
        <v>0</v>
      </c>
      <c r="N13" s="14"/>
      <c r="O13" s="52"/>
      <c r="P13" s="45"/>
      <c r="R13" s="46"/>
      <c r="S13" s="60" t="s">
        <v>41</v>
      </c>
      <c r="T13" s="46"/>
      <c r="U13" s="27"/>
      <c r="V13" s="13"/>
      <c r="W13" s="14"/>
      <c r="X13" s="27"/>
      <c r="Y13" s="14"/>
      <c r="Z13" s="55"/>
      <c r="AA13" s="56"/>
      <c r="AB13" s="56"/>
      <c r="AC13" s="56"/>
      <c r="AD13" s="61"/>
      <c r="AE13" s="57"/>
    </row>
    <row r="14" ht="15" customHeight="1" spans="1:31">
      <c r="A14" s="45"/>
      <c r="B14" s="46"/>
      <c r="C14" s="47" t="s">
        <v>42</v>
      </c>
      <c r="D14" s="13"/>
      <c r="E14" s="13"/>
      <c r="F14" s="14"/>
      <c r="G14" s="48"/>
      <c r="H14" s="49"/>
      <c r="I14" s="47" t="s">
        <v>37</v>
      </c>
      <c r="J14" s="50"/>
      <c r="K14" s="13"/>
      <c r="L14" s="14"/>
      <c r="M14" s="51">
        <v>0.00126984126984123</v>
      </c>
      <c r="N14" s="14"/>
      <c r="O14" s="52"/>
      <c r="P14" s="62"/>
      <c r="Q14" s="11"/>
      <c r="R14" s="63"/>
      <c r="S14" s="64" t="s">
        <v>25</v>
      </c>
      <c r="T14" s="63"/>
      <c r="U14" s="27"/>
      <c r="V14" s="13"/>
      <c r="W14" s="14"/>
      <c r="X14" s="27"/>
      <c r="Y14" s="14"/>
      <c r="Z14" s="55"/>
      <c r="AA14" s="56"/>
      <c r="AB14" s="56"/>
      <c r="AC14" s="56"/>
      <c r="AD14" s="56"/>
      <c r="AE14" s="57"/>
    </row>
    <row r="15" ht="15" customHeight="1" spans="1:31">
      <c r="A15" s="45"/>
      <c r="B15" s="46"/>
      <c r="C15" s="47" t="s">
        <v>43</v>
      </c>
      <c r="D15" s="13"/>
      <c r="E15" s="13"/>
      <c r="F15" s="14"/>
      <c r="G15" s="65"/>
      <c r="H15" s="66"/>
      <c r="I15" s="47" t="s">
        <v>37</v>
      </c>
      <c r="J15" s="50"/>
      <c r="K15" s="13"/>
      <c r="L15" s="14"/>
      <c r="M15" s="51">
        <v>0</v>
      </c>
      <c r="N15" s="14"/>
      <c r="O15" s="29"/>
      <c r="P15" s="27" t="s">
        <v>44</v>
      </c>
      <c r="Q15" s="13"/>
      <c r="R15" s="14"/>
      <c r="S15" s="36"/>
      <c r="T15" s="14"/>
      <c r="U15" s="67"/>
      <c r="V15" s="13"/>
      <c r="W15" s="13"/>
      <c r="X15" s="13"/>
      <c r="Y15" s="14"/>
      <c r="Z15" s="55"/>
      <c r="AA15" s="56"/>
      <c r="AB15" s="56"/>
      <c r="AC15" s="56"/>
      <c r="AD15" s="56"/>
      <c r="AE15" s="57"/>
    </row>
    <row r="16" ht="17.4" customHeight="1" spans="1:31">
      <c r="A16" s="45"/>
      <c r="B16" s="46"/>
      <c r="C16" s="47" t="s">
        <v>45</v>
      </c>
      <c r="D16" s="13"/>
      <c r="E16" s="13"/>
      <c r="F16" s="14"/>
      <c r="G16" s="47"/>
      <c r="H16" s="68"/>
      <c r="I16" s="13"/>
      <c r="J16" s="13"/>
      <c r="K16" s="14"/>
      <c r="L16" s="69"/>
      <c r="M16" s="70"/>
      <c r="N16" s="71"/>
      <c r="O16" s="26"/>
      <c r="P16" s="27" t="s">
        <v>46</v>
      </c>
      <c r="Q16" s="13"/>
      <c r="R16" s="14"/>
      <c r="S16" s="36"/>
      <c r="T16" s="14"/>
      <c r="U16" s="67"/>
      <c r="V16" s="13"/>
      <c r="W16" s="13"/>
      <c r="X16" s="13"/>
      <c r="Y16" s="14"/>
      <c r="Z16" s="55"/>
      <c r="AA16" s="56"/>
      <c r="AB16" s="56"/>
      <c r="AC16" s="56"/>
      <c r="AD16" s="56"/>
      <c r="AE16" s="57"/>
    </row>
    <row r="17" ht="17.4" customHeight="1" spans="1:31">
      <c r="A17" s="45"/>
      <c r="B17" s="46"/>
      <c r="C17" s="47" t="s">
        <v>47</v>
      </c>
      <c r="D17" s="13"/>
      <c r="E17" s="13"/>
      <c r="F17" s="14"/>
      <c r="G17" s="47"/>
      <c r="H17" s="68"/>
      <c r="I17" s="13"/>
      <c r="J17" s="13"/>
      <c r="K17" s="14"/>
      <c r="L17" s="69"/>
      <c r="M17" s="70"/>
      <c r="N17" s="71"/>
      <c r="O17" s="26"/>
      <c r="P17" s="27" t="s">
        <v>48</v>
      </c>
      <c r="Q17" s="13"/>
      <c r="R17" s="14"/>
      <c r="S17" s="36"/>
      <c r="T17" s="14"/>
      <c r="U17" s="40"/>
      <c r="V17" s="13"/>
      <c r="W17" s="13"/>
      <c r="X17" s="13"/>
      <c r="Y17" s="14"/>
      <c r="Z17" s="55"/>
      <c r="AA17" s="56"/>
      <c r="AB17" s="56"/>
      <c r="AC17" s="56"/>
      <c r="AD17" s="56"/>
      <c r="AE17" s="57"/>
    </row>
    <row r="18" ht="17.4" customHeight="1" spans="1:31">
      <c r="A18" s="62"/>
      <c r="B18" s="63"/>
      <c r="C18" s="47" t="s">
        <v>49</v>
      </c>
      <c r="D18" s="13"/>
      <c r="E18" s="13"/>
      <c r="F18" s="14"/>
      <c r="G18" s="47"/>
      <c r="H18" s="68"/>
      <c r="I18" s="13"/>
      <c r="J18" s="13"/>
      <c r="K18" s="14"/>
      <c r="L18" s="69"/>
      <c r="M18" s="70"/>
      <c r="N18" s="71"/>
      <c r="O18" s="26"/>
      <c r="P18" s="27" t="s">
        <v>50</v>
      </c>
      <c r="Q18" s="13"/>
      <c r="R18" s="14"/>
      <c r="S18" s="36"/>
      <c r="T18" s="14"/>
      <c r="U18" s="27" t="s">
        <v>51</v>
      </c>
      <c r="V18" s="27"/>
      <c r="W18" s="14"/>
      <c r="X18" s="27" t="s">
        <v>52</v>
      </c>
      <c r="Y18" s="27">
        <v>0</v>
      </c>
      <c r="Z18" s="72"/>
      <c r="AA18" s="73"/>
      <c r="AB18" s="73"/>
      <c r="AC18" s="73"/>
      <c r="AD18" s="73"/>
      <c r="AE18" s="74"/>
    </row>
    <row r="19" ht="17.5" customHeight="1" spans="1:31">
      <c r="A19" s="25" t="s">
        <v>53</v>
      </c>
      <c r="B19" s="14"/>
      <c r="C19" s="26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4"/>
    </row>
    <row r="20" ht="30" customHeight="1" spans="1:31">
      <c r="A20" s="27"/>
      <c r="B20" s="41"/>
      <c r="C20" s="75" t="s">
        <v>54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76"/>
      <c r="AC20" s="77"/>
      <c r="AD20" s="77"/>
      <c r="AE20" s="78"/>
    </row>
    <row r="21" ht="30" customHeight="1" spans="1:31">
      <c r="A21" s="45"/>
      <c r="B21" s="46"/>
      <c r="C21" s="39" t="s">
        <v>55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26" t="s">
        <v>15</v>
      </c>
      <c r="P21" s="78" t="s">
        <v>56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76"/>
      <c r="AC21" s="77"/>
      <c r="AD21" s="77"/>
      <c r="AE21" s="78"/>
    </row>
    <row r="22" ht="60" customHeight="1" spans="1:31">
      <c r="A22" s="45"/>
      <c r="B22" s="46"/>
      <c r="C22" s="79" t="s">
        <v>57</v>
      </c>
      <c r="D22" s="68"/>
      <c r="E22" s="14"/>
      <c r="F22" s="79" t="s">
        <v>58</v>
      </c>
      <c r="G22" s="68"/>
      <c r="H22" s="14"/>
      <c r="I22" s="79" t="s">
        <v>59</v>
      </c>
      <c r="J22" s="68"/>
      <c r="K22" s="14"/>
      <c r="L22" s="79" t="s">
        <v>60</v>
      </c>
      <c r="M22" s="68"/>
      <c r="N22" s="14"/>
      <c r="O22" s="52"/>
      <c r="P22" s="79" t="s">
        <v>57</v>
      </c>
      <c r="Q22" s="68"/>
      <c r="R22" s="14"/>
      <c r="S22" s="79" t="s">
        <v>58</v>
      </c>
      <c r="T22" s="68"/>
      <c r="U22" s="14"/>
      <c r="V22" s="79" t="s">
        <v>59</v>
      </c>
      <c r="W22" s="68"/>
      <c r="X22" s="14"/>
      <c r="Y22" s="79" t="s">
        <v>60</v>
      </c>
      <c r="Z22" s="68"/>
      <c r="AA22" s="14"/>
      <c r="AB22" s="80" t="s">
        <v>61</v>
      </c>
      <c r="AC22" s="81" t="s">
        <v>62</v>
      </c>
      <c r="AD22" s="82"/>
      <c r="AE22" s="71"/>
    </row>
    <row r="23" ht="25.05" customHeight="1" spans="1:31">
      <c r="A23" s="45"/>
      <c r="B23" s="46"/>
      <c r="C23" s="47" t="s">
        <v>63</v>
      </c>
      <c r="D23" s="83" t="s">
        <v>64</v>
      </c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52"/>
      <c r="P23" s="47" t="s">
        <v>63</v>
      </c>
      <c r="Q23" s="83" t="s">
        <v>65</v>
      </c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46"/>
      <c r="AC23" s="81" t="s">
        <v>66</v>
      </c>
      <c r="AD23" s="82"/>
      <c r="AE23" s="71"/>
    </row>
    <row r="24" ht="25.05" customHeight="1" spans="1:31">
      <c r="A24" s="45"/>
      <c r="B24" s="46"/>
      <c r="C24" s="47" t="s">
        <v>67</v>
      </c>
      <c r="D24" s="47" t="s">
        <v>68</v>
      </c>
      <c r="E24" s="47" t="s">
        <v>69</v>
      </c>
      <c r="F24" s="13"/>
      <c r="G24" s="14"/>
      <c r="H24" s="47" t="s">
        <v>70</v>
      </c>
      <c r="I24" s="14"/>
      <c r="J24" s="47" t="s">
        <v>71</v>
      </c>
      <c r="K24" s="47" t="s">
        <v>72</v>
      </c>
      <c r="L24" s="13"/>
      <c r="M24" s="13"/>
      <c r="N24" s="14"/>
      <c r="O24" s="52"/>
      <c r="P24" s="47" t="s">
        <v>67</v>
      </c>
      <c r="Q24" s="47" t="s">
        <v>68</v>
      </c>
      <c r="R24" s="47" t="s">
        <v>69</v>
      </c>
      <c r="S24" s="13"/>
      <c r="T24" s="14"/>
      <c r="U24" s="47" t="s">
        <v>70</v>
      </c>
      <c r="V24" s="14"/>
      <c r="W24" s="47" t="s">
        <v>71</v>
      </c>
      <c r="X24" s="47" t="s">
        <v>72</v>
      </c>
      <c r="Y24" s="13"/>
      <c r="Z24" s="13"/>
      <c r="AA24" s="14"/>
      <c r="AB24" s="84" t="s">
        <v>73</v>
      </c>
      <c r="AC24" s="85"/>
      <c r="AD24" s="70"/>
      <c r="AE24" s="71"/>
    </row>
    <row r="25" ht="48" customHeight="1" spans="1:31">
      <c r="A25" s="45"/>
      <c r="B25" s="46"/>
      <c r="C25" s="86" t="s">
        <v>74</v>
      </c>
      <c r="D25" s="87" t="s">
        <v>15</v>
      </c>
      <c r="E25" s="68" t="s">
        <v>51</v>
      </c>
      <c r="F25" s="13"/>
      <c r="G25" s="14"/>
      <c r="H25" s="68" t="s">
        <v>51</v>
      </c>
      <c r="I25" s="14"/>
      <c r="J25" s="68" t="s">
        <v>51</v>
      </c>
      <c r="K25" s="79" t="s">
        <v>75</v>
      </c>
      <c r="L25" s="83"/>
      <c r="M25" s="79" t="s">
        <v>76</v>
      </c>
      <c r="N25" s="83"/>
      <c r="O25" s="52"/>
      <c r="P25" s="86" t="s">
        <v>74</v>
      </c>
      <c r="Q25" s="87" t="s">
        <v>15</v>
      </c>
      <c r="R25" s="68" t="s">
        <v>51</v>
      </c>
      <c r="S25" s="13"/>
      <c r="T25" s="14"/>
      <c r="U25" s="68" t="s">
        <v>51</v>
      </c>
      <c r="V25" s="14"/>
      <c r="W25" s="68" t="s">
        <v>51</v>
      </c>
      <c r="X25" s="79" t="s">
        <v>75</v>
      </c>
      <c r="Y25" s="83"/>
      <c r="Z25" s="79" t="s">
        <v>76</v>
      </c>
      <c r="AA25" s="83"/>
      <c r="AB25" s="84" t="s">
        <v>77</v>
      </c>
      <c r="AC25" s="82"/>
      <c r="AD25" s="70"/>
      <c r="AE25" s="71"/>
    </row>
    <row r="26" ht="24" customHeight="1" spans="1:31">
      <c r="A26" s="45"/>
      <c r="B26" s="46"/>
      <c r="C26" s="79" t="s">
        <v>78</v>
      </c>
      <c r="D26" s="83" t="s">
        <v>15</v>
      </c>
      <c r="E26" s="47" t="s">
        <v>79</v>
      </c>
      <c r="F26" s="68" t="s">
        <v>80</v>
      </c>
      <c r="G26" s="68" t="s">
        <v>81</v>
      </c>
      <c r="H26" s="47" t="s">
        <v>79</v>
      </c>
      <c r="I26" s="68"/>
      <c r="J26" s="68"/>
      <c r="K26" s="79" t="s">
        <v>82</v>
      </c>
      <c r="L26" s="68"/>
      <c r="M26" s="79" t="s">
        <v>83</v>
      </c>
      <c r="N26" s="88"/>
      <c r="O26" s="52"/>
      <c r="P26" s="79" t="s">
        <v>78</v>
      </c>
      <c r="Q26" s="83" t="s">
        <v>15</v>
      </c>
      <c r="R26" s="47" t="s">
        <v>79</v>
      </c>
      <c r="S26" s="68" t="s">
        <v>80</v>
      </c>
      <c r="T26" s="68" t="s">
        <v>81</v>
      </c>
      <c r="U26" s="47" t="s">
        <v>79</v>
      </c>
      <c r="V26" s="68"/>
      <c r="W26" s="68"/>
      <c r="X26" s="79" t="s">
        <v>82</v>
      </c>
      <c r="Y26" s="89"/>
      <c r="Z26" s="79" t="s">
        <v>83</v>
      </c>
      <c r="AA26" s="88"/>
      <c r="AB26" s="84" t="s">
        <v>84</v>
      </c>
      <c r="AC26" s="82"/>
      <c r="AD26" s="90"/>
      <c r="AE26" s="91"/>
    </row>
    <row r="27" ht="24" customHeight="1" spans="1:31">
      <c r="A27" s="45"/>
      <c r="B27" s="46"/>
      <c r="C27" s="29"/>
      <c r="D27" s="29"/>
      <c r="E27" s="29"/>
      <c r="F27" s="68"/>
      <c r="G27" s="89"/>
      <c r="H27" s="29"/>
      <c r="I27" s="29"/>
      <c r="J27" s="29"/>
      <c r="K27" s="29"/>
      <c r="L27" s="29"/>
      <c r="M27" s="29"/>
      <c r="N27" s="29"/>
      <c r="O27" s="52"/>
      <c r="P27" s="29"/>
      <c r="Q27" s="29"/>
      <c r="R27" s="29"/>
      <c r="S27" s="68"/>
      <c r="T27" s="68"/>
      <c r="U27" s="29"/>
      <c r="V27" s="29"/>
      <c r="W27" s="29"/>
      <c r="X27" s="29"/>
      <c r="Y27" s="29"/>
      <c r="Z27" s="29"/>
      <c r="AA27" s="29"/>
      <c r="AB27" s="63"/>
      <c r="AC27" s="92"/>
      <c r="AD27" s="93"/>
      <c r="AE27" s="94"/>
    </row>
    <row r="28" ht="42" customHeight="1" spans="1:31">
      <c r="A28" s="45"/>
      <c r="B28" s="46"/>
      <c r="C28" s="79" t="s">
        <v>85</v>
      </c>
      <c r="D28" s="87" t="s">
        <v>15</v>
      </c>
      <c r="E28" s="79" t="s">
        <v>86</v>
      </c>
      <c r="F28" s="68"/>
      <c r="G28" s="14"/>
      <c r="H28" s="79" t="s">
        <v>87</v>
      </c>
      <c r="I28" s="95"/>
      <c r="J28" s="95"/>
      <c r="K28" s="79" t="s">
        <v>88</v>
      </c>
      <c r="L28" s="83"/>
      <c r="M28" s="79" t="s">
        <v>89</v>
      </c>
      <c r="N28" s="83">
        <f>N25-N26</f>
        <v>0</v>
      </c>
      <c r="O28" s="52"/>
      <c r="P28" s="79" t="s">
        <v>85</v>
      </c>
      <c r="Q28" s="87" t="s">
        <v>15</v>
      </c>
      <c r="R28" s="79" t="s">
        <v>86</v>
      </c>
      <c r="S28" s="68"/>
      <c r="T28" s="14"/>
      <c r="U28" s="79" t="s">
        <v>87</v>
      </c>
      <c r="V28" s="95"/>
      <c r="W28" s="68"/>
      <c r="X28" s="79" t="s">
        <v>88</v>
      </c>
      <c r="Y28" s="96"/>
      <c r="Z28" s="79" t="s">
        <v>89</v>
      </c>
      <c r="AA28" s="83">
        <f>AA25-AA26</f>
        <v>0</v>
      </c>
      <c r="AB28" s="84" t="s">
        <v>90</v>
      </c>
      <c r="AC28" s="82"/>
      <c r="AD28" s="70"/>
      <c r="AE28" s="71"/>
    </row>
    <row r="29" ht="42" customHeight="1" spans="1:31">
      <c r="A29" s="45"/>
      <c r="B29" s="46"/>
      <c r="C29" s="79" t="s">
        <v>91</v>
      </c>
      <c r="D29" s="87" t="s">
        <v>15</v>
      </c>
      <c r="E29" s="79" t="s">
        <v>92</v>
      </c>
      <c r="F29" s="89"/>
      <c r="G29" s="14"/>
      <c r="H29" s="79" t="s">
        <v>93</v>
      </c>
      <c r="I29" s="68"/>
      <c r="J29" s="68"/>
      <c r="K29" s="79" t="s">
        <v>94</v>
      </c>
      <c r="L29" s="83"/>
      <c r="M29" s="79" t="s">
        <v>95</v>
      </c>
      <c r="N29" s="83"/>
      <c r="O29" s="52"/>
      <c r="P29" s="79" t="s">
        <v>91</v>
      </c>
      <c r="Q29" s="87" t="s">
        <v>15</v>
      </c>
      <c r="R29" s="79" t="s">
        <v>92</v>
      </c>
      <c r="S29" s="89"/>
      <c r="T29" s="14"/>
      <c r="U29" s="79" t="s">
        <v>93</v>
      </c>
      <c r="V29" s="68"/>
      <c r="W29" s="68"/>
      <c r="X29" s="79" t="s">
        <v>94</v>
      </c>
      <c r="Y29" s="83"/>
      <c r="Z29" s="79" t="s">
        <v>95</v>
      </c>
      <c r="AA29" s="83"/>
      <c r="AB29" s="84" t="s">
        <v>96</v>
      </c>
      <c r="AC29" s="82"/>
      <c r="AD29" s="70"/>
      <c r="AE29" s="71"/>
    </row>
    <row r="30" ht="42" customHeight="1" spans="1:31">
      <c r="A30" s="45"/>
      <c r="B30" s="46"/>
      <c r="C30" s="79" t="s">
        <v>97</v>
      </c>
      <c r="D30" s="87" t="s">
        <v>15</v>
      </c>
      <c r="E30" s="79" t="s">
        <v>98</v>
      </c>
      <c r="F30" s="68"/>
      <c r="G30" s="14"/>
      <c r="H30" s="79" t="s">
        <v>99</v>
      </c>
      <c r="I30" s="68"/>
      <c r="J30" s="14"/>
      <c r="K30" s="79" t="s">
        <v>100</v>
      </c>
      <c r="L30" s="68">
        <f>L29-L25</f>
        <v>0</v>
      </c>
      <c r="M30" s="79" t="s">
        <v>101</v>
      </c>
      <c r="N30" s="83"/>
      <c r="O30" s="52"/>
      <c r="P30" s="79" t="s">
        <v>97</v>
      </c>
      <c r="Q30" s="87" t="s">
        <v>15</v>
      </c>
      <c r="R30" s="79" t="s">
        <v>98</v>
      </c>
      <c r="S30" s="68"/>
      <c r="T30" s="14"/>
      <c r="U30" s="79" t="s">
        <v>99</v>
      </c>
      <c r="V30" s="68"/>
      <c r="W30" s="14"/>
      <c r="X30" s="79" t="s">
        <v>100</v>
      </c>
      <c r="Y30" s="68">
        <f>Y29-Y25</f>
        <v>0</v>
      </c>
      <c r="Z30" s="79" t="s">
        <v>101</v>
      </c>
      <c r="AA30" s="83"/>
      <c r="AB30" s="97" t="s">
        <v>102</v>
      </c>
      <c r="AC30" s="53"/>
      <c r="AD30" s="53"/>
      <c r="AE30" s="41"/>
    </row>
    <row r="31" ht="42" customHeight="1" spans="1:31">
      <c r="A31" s="45"/>
      <c r="B31" s="46"/>
      <c r="C31" s="79" t="s">
        <v>103</v>
      </c>
      <c r="D31" s="87" t="s">
        <v>15</v>
      </c>
      <c r="E31" s="98"/>
      <c r="F31" s="79"/>
      <c r="G31" s="14"/>
      <c r="H31" s="79" t="s">
        <v>104</v>
      </c>
      <c r="I31" s="68"/>
      <c r="J31" s="14"/>
      <c r="K31" s="79"/>
      <c r="L31" s="79"/>
      <c r="M31" s="79" t="s">
        <v>105</v>
      </c>
      <c r="N31" s="68">
        <f>N29-N30</f>
        <v>0</v>
      </c>
      <c r="O31" s="52"/>
      <c r="P31" s="79" t="s">
        <v>103</v>
      </c>
      <c r="Q31" s="87" t="s">
        <v>15</v>
      </c>
      <c r="R31" s="98"/>
      <c r="S31" s="79"/>
      <c r="T31" s="14"/>
      <c r="U31" s="79" t="s">
        <v>104</v>
      </c>
      <c r="V31" s="68"/>
      <c r="W31" s="14"/>
      <c r="X31" s="79"/>
      <c r="Y31" s="79"/>
      <c r="Z31" s="79" t="s">
        <v>105</v>
      </c>
      <c r="AA31" s="68">
        <f>AA29-AA30</f>
        <v>0</v>
      </c>
      <c r="AE31" s="46"/>
    </row>
    <row r="32" ht="16.95" customHeight="1" spans="1:31">
      <c r="A32" s="45"/>
      <c r="B32" s="46"/>
      <c r="C32" s="26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52"/>
      <c r="P32" s="78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11"/>
      <c r="AC32" s="11"/>
      <c r="AD32" s="11"/>
      <c r="AE32" s="63"/>
    </row>
    <row r="33" ht="25.05" customHeight="1" spans="1:31">
      <c r="A33" s="45"/>
      <c r="B33" s="46"/>
      <c r="C33" s="27" t="s">
        <v>63</v>
      </c>
      <c r="D33" s="87" t="s">
        <v>106</v>
      </c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52"/>
      <c r="P33" s="36" t="s">
        <v>63</v>
      </c>
      <c r="Q33" s="87" t="s">
        <v>106</v>
      </c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84" t="s">
        <v>97</v>
      </c>
      <c r="AC33" s="14"/>
      <c r="AD33" s="99" t="s">
        <v>107</v>
      </c>
      <c r="AE33" s="14"/>
    </row>
    <row r="34" ht="25.05" customHeight="1" spans="1:31">
      <c r="A34" s="45"/>
      <c r="B34" s="46"/>
      <c r="C34" s="27" t="s">
        <v>67</v>
      </c>
      <c r="D34" s="27" t="s">
        <v>68</v>
      </c>
      <c r="E34" s="27" t="s">
        <v>69</v>
      </c>
      <c r="F34" s="13"/>
      <c r="G34" s="14"/>
      <c r="H34" s="27" t="s">
        <v>70</v>
      </c>
      <c r="I34" s="14"/>
      <c r="J34" s="27" t="s">
        <v>71</v>
      </c>
      <c r="K34" s="27" t="s">
        <v>72</v>
      </c>
      <c r="L34" s="13"/>
      <c r="M34" s="13"/>
      <c r="N34" s="14"/>
      <c r="O34" s="52"/>
      <c r="P34" s="36" t="s">
        <v>67</v>
      </c>
      <c r="Q34" s="27" t="s">
        <v>68</v>
      </c>
      <c r="R34" s="27" t="s">
        <v>69</v>
      </c>
      <c r="S34" s="13"/>
      <c r="T34" s="14"/>
      <c r="U34" s="27" t="s">
        <v>70</v>
      </c>
      <c r="V34" s="14"/>
      <c r="W34" s="27" t="s">
        <v>71</v>
      </c>
      <c r="X34" s="27" t="s">
        <v>72</v>
      </c>
      <c r="Y34" s="13"/>
      <c r="Z34" s="13"/>
      <c r="AA34" s="14"/>
      <c r="AB34" s="84" t="s">
        <v>103</v>
      </c>
      <c r="AC34" s="14"/>
      <c r="AD34" s="99" t="s">
        <v>107</v>
      </c>
      <c r="AE34" s="14"/>
    </row>
    <row r="35" ht="42" customHeight="1" spans="1:31">
      <c r="A35" s="45"/>
      <c r="B35" s="46"/>
      <c r="C35" s="100" t="s">
        <v>74</v>
      </c>
      <c r="D35" s="87" t="s">
        <v>15</v>
      </c>
      <c r="E35" s="101" t="s">
        <v>51</v>
      </c>
      <c r="F35" s="13"/>
      <c r="G35" s="14"/>
      <c r="H35" s="101" t="s">
        <v>51</v>
      </c>
      <c r="I35" s="14"/>
      <c r="J35" s="101" t="s">
        <v>51</v>
      </c>
      <c r="K35" s="99" t="s">
        <v>75</v>
      </c>
      <c r="L35" s="101" t="s">
        <v>15</v>
      </c>
      <c r="M35" s="99" t="s">
        <v>76</v>
      </c>
      <c r="N35" s="102" t="s">
        <v>15</v>
      </c>
      <c r="O35" s="52"/>
      <c r="P35" s="100" t="s">
        <v>74</v>
      </c>
      <c r="Q35" s="87" t="s">
        <v>15</v>
      </c>
      <c r="R35" s="101" t="s">
        <v>51</v>
      </c>
      <c r="S35" s="13"/>
      <c r="T35" s="14"/>
      <c r="U35" s="101" t="s">
        <v>51</v>
      </c>
      <c r="V35" s="14"/>
      <c r="W35" s="101" t="s">
        <v>51</v>
      </c>
      <c r="X35" s="99" t="s">
        <v>75</v>
      </c>
      <c r="Y35" s="101" t="s">
        <v>15</v>
      </c>
      <c r="Z35" s="99" t="s">
        <v>76</v>
      </c>
      <c r="AA35" s="101" t="s">
        <v>15</v>
      </c>
      <c r="AB35" s="84" t="s">
        <v>108</v>
      </c>
      <c r="AC35" s="14"/>
      <c r="AD35" s="103" t="s">
        <v>109</v>
      </c>
      <c r="AE35" s="14"/>
    </row>
    <row r="36" ht="24" customHeight="1" spans="1:31">
      <c r="A36" s="45"/>
      <c r="B36" s="46"/>
      <c r="C36" s="99" t="s">
        <v>78</v>
      </c>
      <c r="D36" s="104" t="s">
        <v>15</v>
      </c>
      <c r="E36" s="27" t="s">
        <v>79</v>
      </c>
      <c r="F36" s="101" t="s">
        <v>80</v>
      </c>
      <c r="G36" s="101" t="s">
        <v>81</v>
      </c>
      <c r="H36" s="27" t="s">
        <v>79</v>
      </c>
      <c r="I36" s="101" t="s">
        <v>15</v>
      </c>
      <c r="J36" s="101" t="s">
        <v>15</v>
      </c>
      <c r="K36" s="99" t="s">
        <v>82</v>
      </c>
      <c r="L36" s="101" t="s">
        <v>15</v>
      </c>
      <c r="M36" s="99" t="s">
        <v>83</v>
      </c>
      <c r="N36" s="102" t="s">
        <v>15</v>
      </c>
      <c r="O36" s="52"/>
      <c r="P36" s="99" t="s">
        <v>78</v>
      </c>
      <c r="Q36" s="104" t="s">
        <v>15</v>
      </c>
      <c r="R36" s="27" t="s">
        <v>79</v>
      </c>
      <c r="S36" s="101" t="s">
        <v>80</v>
      </c>
      <c r="T36" s="101" t="s">
        <v>81</v>
      </c>
      <c r="U36" s="27" t="s">
        <v>79</v>
      </c>
      <c r="V36" s="101" t="s">
        <v>15</v>
      </c>
      <c r="W36" s="101" t="s">
        <v>15</v>
      </c>
      <c r="X36" s="99" t="s">
        <v>82</v>
      </c>
      <c r="Y36" s="101" t="s">
        <v>15</v>
      </c>
      <c r="Z36" s="99" t="s">
        <v>83</v>
      </c>
      <c r="AA36" s="101" t="s">
        <v>15</v>
      </c>
      <c r="AB36" s="84" t="s">
        <v>104</v>
      </c>
      <c r="AC36" s="41"/>
      <c r="AD36" s="99" t="s">
        <v>110</v>
      </c>
      <c r="AE36" s="41"/>
    </row>
    <row r="37" ht="24" customHeight="1" spans="1:31">
      <c r="A37" s="45"/>
      <c r="B37" s="46"/>
      <c r="C37" s="29"/>
      <c r="D37" s="29"/>
      <c r="E37" s="29"/>
      <c r="F37" s="101" t="s">
        <v>15</v>
      </c>
      <c r="G37" s="101" t="s">
        <v>15</v>
      </c>
      <c r="H37" s="29"/>
      <c r="I37" s="29"/>
      <c r="J37" s="29"/>
      <c r="K37" s="29"/>
      <c r="L37" s="29"/>
      <c r="M37" s="29"/>
      <c r="N37" s="62"/>
      <c r="O37" s="52"/>
      <c r="P37" s="29"/>
      <c r="Q37" s="29"/>
      <c r="R37" s="29"/>
      <c r="S37" s="101" t="s">
        <v>15</v>
      </c>
      <c r="T37" s="101" t="s">
        <v>15</v>
      </c>
      <c r="U37" s="29"/>
      <c r="V37" s="29"/>
      <c r="W37" s="29"/>
      <c r="X37" s="29"/>
      <c r="Y37" s="29"/>
      <c r="Z37" s="29"/>
      <c r="AA37" s="29"/>
      <c r="AB37" s="11"/>
      <c r="AC37" s="63"/>
      <c r="AD37" s="62"/>
      <c r="AE37" s="63"/>
    </row>
    <row r="38" ht="42" customHeight="1" spans="1:31">
      <c r="A38" s="45"/>
      <c r="B38" s="46"/>
      <c r="C38" s="99" t="s">
        <v>85</v>
      </c>
      <c r="D38" s="87" t="s">
        <v>15</v>
      </c>
      <c r="E38" s="99" t="s">
        <v>86</v>
      </c>
      <c r="F38" s="101" t="s">
        <v>15</v>
      </c>
      <c r="G38" s="14"/>
      <c r="H38" s="99" t="s">
        <v>87</v>
      </c>
      <c r="I38" s="101" t="s">
        <v>15</v>
      </c>
      <c r="J38" s="101" t="s">
        <v>15</v>
      </c>
      <c r="K38" s="99" t="s">
        <v>88</v>
      </c>
      <c r="L38" s="101" t="s">
        <v>15</v>
      </c>
      <c r="M38" s="99" t="s">
        <v>89</v>
      </c>
      <c r="N38" s="102" t="e">
        <v>#VALUE!</v>
      </c>
      <c r="O38" s="52"/>
      <c r="P38" s="99" t="s">
        <v>85</v>
      </c>
      <c r="Q38" s="87" t="s">
        <v>15</v>
      </c>
      <c r="R38" s="99" t="s">
        <v>86</v>
      </c>
      <c r="S38" s="101" t="s">
        <v>15</v>
      </c>
      <c r="T38" s="14"/>
      <c r="U38" s="99" t="s">
        <v>87</v>
      </c>
      <c r="V38" s="101" t="s">
        <v>15</v>
      </c>
      <c r="W38" s="101" t="s">
        <v>15</v>
      </c>
      <c r="X38" s="99" t="s">
        <v>88</v>
      </c>
      <c r="Y38" s="101" t="s">
        <v>15</v>
      </c>
      <c r="Z38" s="99" t="s">
        <v>89</v>
      </c>
      <c r="AA38" s="101" t="e">
        <v>#VALUE!</v>
      </c>
      <c r="AB38" s="84" t="s">
        <v>111</v>
      </c>
      <c r="AC38" s="14"/>
      <c r="AD38" s="99" t="s">
        <v>112</v>
      </c>
      <c r="AE38" s="14"/>
    </row>
    <row r="39" ht="42" customHeight="1" spans="1:31">
      <c r="A39" s="45"/>
      <c r="B39" s="46"/>
      <c r="C39" s="99" t="s">
        <v>91</v>
      </c>
      <c r="D39" s="87" t="s">
        <v>15</v>
      </c>
      <c r="E39" s="99" t="s">
        <v>92</v>
      </c>
      <c r="F39" s="101" t="s">
        <v>15</v>
      </c>
      <c r="G39" s="14"/>
      <c r="H39" s="99" t="s">
        <v>93</v>
      </c>
      <c r="I39" s="101" t="s">
        <v>15</v>
      </c>
      <c r="J39" s="101" t="s">
        <v>15</v>
      </c>
      <c r="K39" s="99" t="s">
        <v>94</v>
      </c>
      <c r="L39" s="101" t="s">
        <v>15</v>
      </c>
      <c r="M39" s="99" t="s">
        <v>95</v>
      </c>
      <c r="N39" s="102" t="s">
        <v>15</v>
      </c>
      <c r="O39" s="52"/>
      <c r="P39" s="99" t="s">
        <v>91</v>
      </c>
      <c r="Q39" s="87" t="s">
        <v>15</v>
      </c>
      <c r="R39" s="99" t="s">
        <v>92</v>
      </c>
      <c r="S39" s="101" t="s">
        <v>15</v>
      </c>
      <c r="T39" s="14"/>
      <c r="U39" s="99" t="s">
        <v>93</v>
      </c>
      <c r="V39" s="101" t="s">
        <v>15</v>
      </c>
      <c r="W39" s="101" t="s">
        <v>15</v>
      </c>
      <c r="X39" s="99" t="s">
        <v>94</v>
      </c>
      <c r="Y39" s="101" t="s">
        <v>15</v>
      </c>
      <c r="Z39" s="99" t="s">
        <v>95</v>
      </c>
      <c r="AA39" s="101" t="s">
        <v>15</v>
      </c>
      <c r="AB39" s="84" t="s">
        <v>113</v>
      </c>
      <c r="AC39" s="14"/>
      <c r="AD39" s="99" t="s">
        <v>114</v>
      </c>
      <c r="AE39" s="14"/>
    </row>
    <row r="40" ht="42" customHeight="1" spans="1:31">
      <c r="A40" s="45"/>
      <c r="B40" s="46"/>
      <c r="C40" s="99" t="s">
        <v>97</v>
      </c>
      <c r="D40" s="87" t="s">
        <v>15</v>
      </c>
      <c r="E40" s="99" t="s">
        <v>98</v>
      </c>
      <c r="F40" s="101" t="s">
        <v>15</v>
      </c>
      <c r="G40" s="14"/>
      <c r="H40" s="99" t="s">
        <v>99</v>
      </c>
      <c r="I40" s="101" t="s">
        <v>15</v>
      </c>
      <c r="J40" s="14"/>
      <c r="K40" s="99" t="s">
        <v>100</v>
      </c>
      <c r="L40" s="101" t="e">
        <v>#VALUE!</v>
      </c>
      <c r="M40" s="99" t="s">
        <v>101</v>
      </c>
      <c r="N40" s="102" t="s">
        <v>15</v>
      </c>
      <c r="O40" s="52"/>
      <c r="P40" s="99" t="s">
        <v>97</v>
      </c>
      <c r="Q40" s="87" t="s">
        <v>15</v>
      </c>
      <c r="R40" s="99" t="s">
        <v>98</v>
      </c>
      <c r="S40" s="101" t="s">
        <v>15</v>
      </c>
      <c r="T40" s="14"/>
      <c r="U40" s="99" t="s">
        <v>99</v>
      </c>
      <c r="V40" s="101" t="s">
        <v>15</v>
      </c>
      <c r="W40" s="14"/>
      <c r="X40" s="99" t="s">
        <v>100</v>
      </c>
      <c r="Y40" s="101" t="e">
        <v>#VALUE!</v>
      </c>
      <c r="Z40" s="99" t="s">
        <v>101</v>
      </c>
      <c r="AA40" s="101" t="s">
        <v>15</v>
      </c>
      <c r="AB40" s="84" t="s">
        <v>115</v>
      </c>
      <c r="AC40" s="14"/>
      <c r="AD40" s="99" t="s">
        <v>116</v>
      </c>
      <c r="AE40" s="14"/>
    </row>
    <row r="41" ht="42" customHeight="1" spans="1:31">
      <c r="A41" s="45"/>
      <c r="B41" s="46"/>
      <c r="C41" s="99" t="s">
        <v>103</v>
      </c>
      <c r="D41" s="87" t="s">
        <v>15</v>
      </c>
      <c r="E41" s="99"/>
      <c r="F41" s="99"/>
      <c r="G41" s="99"/>
      <c r="H41" s="99" t="s">
        <v>104</v>
      </c>
      <c r="I41" s="101" t="s">
        <v>15</v>
      </c>
      <c r="J41" s="14"/>
      <c r="K41" s="99"/>
      <c r="L41" s="99"/>
      <c r="M41" s="99" t="s">
        <v>105</v>
      </c>
      <c r="N41" s="102" t="e">
        <v>#VALUE!</v>
      </c>
      <c r="O41" s="52"/>
      <c r="P41" s="99" t="s">
        <v>103</v>
      </c>
      <c r="Q41" s="87" t="s">
        <v>15</v>
      </c>
      <c r="R41" s="99"/>
      <c r="S41" s="99"/>
      <c r="T41" s="99"/>
      <c r="U41" s="99" t="s">
        <v>104</v>
      </c>
      <c r="V41" s="101" t="s">
        <v>15</v>
      </c>
      <c r="W41" s="14"/>
      <c r="X41" s="99"/>
      <c r="Y41" s="99"/>
      <c r="Z41" s="99" t="s">
        <v>105</v>
      </c>
      <c r="AA41" s="101" t="e">
        <v>#VALUE!</v>
      </c>
      <c r="AB41" s="76"/>
      <c r="AC41" s="77"/>
      <c r="AD41" s="77"/>
      <c r="AE41" s="78"/>
    </row>
    <row r="42" ht="42" customHeight="1" spans="1:31">
      <c r="A42" s="45"/>
      <c r="B42" s="46"/>
      <c r="C42" s="27" t="s">
        <v>117</v>
      </c>
      <c r="D42" s="87" t="s">
        <v>118</v>
      </c>
      <c r="E42" s="13"/>
      <c r="F42" s="13"/>
      <c r="G42" s="13"/>
      <c r="H42" s="13"/>
      <c r="I42" s="13"/>
      <c r="J42" s="13"/>
      <c r="K42" s="13"/>
      <c r="L42" s="13"/>
      <c r="M42" s="13"/>
      <c r="N42" s="14"/>
      <c r="O42" s="29"/>
      <c r="P42" s="27" t="s">
        <v>117</v>
      </c>
      <c r="Q42" s="87" t="s">
        <v>118</v>
      </c>
      <c r="R42" s="13"/>
      <c r="S42" s="13"/>
      <c r="T42" s="13"/>
      <c r="U42" s="13"/>
      <c r="V42" s="13"/>
      <c r="W42" s="13"/>
      <c r="X42" s="13"/>
      <c r="Y42" s="13"/>
      <c r="Z42" s="13"/>
      <c r="AA42" s="14"/>
      <c r="AB42" s="76"/>
      <c r="AC42" s="77"/>
      <c r="AD42" s="77"/>
      <c r="AE42" s="78"/>
    </row>
    <row r="43" ht="30" customHeight="1" spans="1:31">
      <c r="A43" s="45"/>
      <c r="B43" s="46"/>
      <c r="C43" s="75" t="s">
        <v>119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76"/>
      <c r="AC43" s="77"/>
      <c r="AD43" s="77"/>
      <c r="AE43" s="78"/>
    </row>
    <row r="44" ht="30" customHeight="1" spans="1:31">
      <c r="A44" s="45"/>
      <c r="B44" s="46"/>
      <c r="C44" s="26" t="s">
        <v>55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  <c r="O44" s="26"/>
      <c r="P44" s="26" t="s">
        <v>56</v>
      </c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76"/>
      <c r="AC44" s="77"/>
      <c r="AD44" s="77"/>
      <c r="AE44" s="78"/>
    </row>
    <row r="45" ht="42" customHeight="1" spans="1:31">
      <c r="A45" s="45"/>
      <c r="B45" s="46"/>
      <c r="C45" s="99" t="s">
        <v>120</v>
      </c>
      <c r="D45" s="14"/>
      <c r="E45" s="101" t="s">
        <v>121</v>
      </c>
      <c r="F45" s="99" t="s">
        <v>122</v>
      </c>
      <c r="G45" s="101">
        <v>0.09</v>
      </c>
      <c r="H45" s="14"/>
      <c r="I45" s="99" t="s">
        <v>123</v>
      </c>
      <c r="J45" s="101">
        <v>0.089</v>
      </c>
      <c r="K45" s="14"/>
      <c r="L45" s="99" t="s">
        <v>124</v>
      </c>
      <c r="M45" s="101">
        <v>0.09</v>
      </c>
      <c r="N45" s="14"/>
      <c r="O45" s="52"/>
      <c r="P45" s="99" t="s">
        <v>120</v>
      </c>
      <c r="Q45" s="14"/>
      <c r="R45" s="101" t="s">
        <v>121</v>
      </c>
      <c r="S45" s="99" t="s">
        <v>125</v>
      </c>
      <c r="T45" s="101">
        <v>0.09</v>
      </c>
      <c r="U45" s="14"/>
      <c r="V45" s="99" t="s">
        <v>123</v>
      </c>
      <c r="W45" s="101">
        <v>0.089</v>
      </c>
      <c r="X45" s="14"/>
      <c r="Y45" s="99" t="s">
        <v>124</v>
      </c>
      <c r="Z45" s="101">
        <v>0.093</v>
      </c>
      <c r="AA45" s="14"/>
      <c r="AB45" s="76"/>
      <c r="AC45" s="77"/>
      <c r="AD45" s="77"/>
      <c r="AE45" s="78"/>
    </row>
    <row r="46" ht="42" customHeight="1" spans="1:31">
      <c r="A46" s="45"/>
      <c r="B46" s="46"/>
      <c r="C46" s="99" t="s">
        <v>126</v>
      </c>
      <c r="D46" s="14"/>
      <c r="E46" s="101" t="s">
        <v>127</v>
      </c>
      <c r="F46" s="99" t="s">
        <v>122</v>
      </c>
      <c r="G46" s="101">
        <v>0.09</v>
      </c>
      <c r="H46" s="14"/>
      <c r="I46" s="99" t="s">
        <v>123</v>
      </c>
      <c r="J46" s="101">
        <v>0.089</v>
      </c>
      <c r="K46" s="14"/>
      <c r="L46" s="99" t="s">
        <v>124</v>
      </c>
      <c r="M46" s="101">
        <v>0.09</v>
      </c>
      <c r="N46" s="14"/>
      <c r="O46" s="52"/>
      <c r="P46" s="99" t="s">
        <v>126</v>
      </c>
      <c r="Q46" s="14"/>
      <c r="R46" s="101" t="s">
        <v>127</v>
      </c>
      <c r="S46" s="99" t="s">
        <v>125</v>
      </c>
      <c r="T46" s="101">
        <v>0.09</v>
      </c>
      <c r="U46" s="14"/>
      <c r="V46" s="99" t="s">
        <v>123</v>
      </c>
      <c r="W46" s="101">
        <v>0.09</v>
      </c>
      <c r="X46" s="14"/>
      <c r="Y46" s="99" t="s">
        <v>124</v>
      </c>
      <c r="Z46" s="101">
        <v>0.093</v>
      </c>
      <c r="AA46" s="14"/>
      <c r="AB46" s="76"/>
      <c r="AC46" s="77"/>
      <c r="AD46" s="77"/>
      <c r="AE46" s="78"/>
    </row>
    <row r="47" ht="25.05" customHeight="1" spans="1:31">
      <c r="A47" s="45"/>
      <c r="B47" s="46"/>
      <c r="C47" s="87" t="s">
        <v>128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52"/>
      <c r="P47" s="87" t="s">
        <v>129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76"/>
      <c r="AC47" s="77"/>
      <c r="AD47" s="77"/>
      <c r="AE47" s="78"/>
    </row>
    <row r="48" ht="42" customHeight="1" spans="1:31">
      <c r="A48" s="45"/>
      <c r="B48" s="46"/>
      <c r="C48" s="99" t="s">
        <v>130</v>
      </c>
      <c r="D48" s="101">
        <v>30.1</v>
      </c>
      <c r="E48" s="99" t="s">
        <v>131</v>
      </c>
      <c r="F48" s="14"/>
      <c r="G48" s="101">
        <v>0.28</v>
      </c>
      <c r="H48" s="14"/>
      <c r="I48" s="99" t="s">
        <v>132</v>
      </c>
      <c r="J48" s="14"/>
      <c r="K48" s="101">
        <v>0.38</v>
      </c>
      <c r="L48" s="14"/>
      <c r="M48" s="99" t="s">
        <v>133</v>
      </c>
      <c r="N48" s="101">
        <f>K48-G48</f>
        <v>0.1</v>
      </c>
      <c r="O48" s="52"/>
      <c r="P48" s="99" t="s">
        <v>130</v>
      </c>
      <c r="Q48" s="101">
        <v>30</v>
      </c>
      <c r="R48" s="99" t="s">
        <v>131</v>
      </c>
      <c r="S48" s="14"/>
      <c r="T48" s="101">
        <v>0.26</v>
      </c>
      <c r="U48" s="14"/>
      <c r="V48" s="99" t="s">
        <v>132</v>
      </c>
      <c r="W48" s="14"/>
      <c r="X48" s="101">
        <v>0.36</v>
      </c>
      <c r="Y48" s="14"/>
      <c r="Z48" s="99" t="s">
        <v>133</v>
      </c>
      <c r="AA48" s="99">
        <f>X48-T48</f>
        <v>0.1</v>
      </c>
      <c r="AB48" s="76"/>
      <c r="AC48" s="77"/>
      <c r="AD48" s="77"/>
      <c r="AE48" s="78"/>
    </row>
    <row r="49" ht="42" customHeight="1" spans="1:31">
      <c r="A49" s="62"/>
      <c r="B49" s="63"/>
      <c r="C49" s="99" t="s">
        <v>134</v>
      </c>
      <c r="D49" s="87" t="s">
        <v>118</v>
      </c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29"/>
      <c r="P49" s="99" t="s">
        <v>134</v>
      </c>
      <c r="Q49" s="87" t="s">
        <v>118</v>
      </c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76"/>
      <c r="AC49" s="77"/>
      <c r="AD49" s="77"/>
      <c r="AE49" s="78"/>
    </row>
    <row r="50" spans="1:31">
      <c r="A50" s="25" t="s">
        <v>135</v>
      </c>
      <c r="B50" s="14"/>
      <c r="C50" s="105" t="s">
        <v>15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4"/>
    </row>
    <row r="51" spans="1:31">
      <c r="A51" s="25" t="s">
        <v>136</v>
      </c>
      <c r="B51" s="14"/>
      <c r="C51" s="105" t="s">
        <v>15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4"/>
    </row>
    <row r="52" spans="1:31">
      <c r="A52" s="25" t="s">
        <v>137</v>
      </c>
      <c r="B52" s="14"/>
      <c r="C52" s="105" t="s">
        <v>15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4"/>
    </row>
    <row r="53" spans="1:31">
      <c r="A53" s="25" t="s">
        <v>138</v>
      </c>
      <c r="B53" s="14"/>
      <c r="C53" s="105" t="s">
        <v>15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4"/>
    </row>
    <row r="54" spans="1:31">
      <c r="A54" s="106" t="s">
        <v>139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4"/>
    </row>
    <row r="55" ht="28" customHeight="1" spans="1:31">
      <c r="A55" s="107" t="s">
        <v>140</v>
      </c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61"/>
      <c r="N55" s="61"/>
      <c r="O55" s="109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4"/>
      <c r="AA55" s="61"/>
      <c r="AB55" s="110" t="s">
        <v>141</v>
      </c>
      <c r="AC55" s="110" t="s">
        <v>142</v>
      </c>
      <c r="AD55" s="111" t="s">
        <v>143</v>
      </c>
      <c r="AE55" s="14"/>
    </row>
    <row r="56" spans="1:31">
      <c r="A56" s="112" t="s">
        <v>144</v>
      </c>
      <c r="B56" s="66"/>
      <c r="C56" s="113" t="s">
        <v>145</v>
      </c>
      <c r="D56" s="66"/>
      <c r="E56" s="113" t="s">
        <v>146</v>
      </c>
      <c r="F56" s="66"/>
      <c r="G56" s="114" t="s">
        <v>147</v>
      </c>
      <c r="H56" s="66"/>
      <c r="I56" s="113" t="s">
        <v>148</v>
      </c>
      <c r="J56" s="66"/>
      <c r="K56" s="113" t="s">
        <v>149</v>
      </c>
      <c r="L56" s="66"/>
      <c r="M56" s="115"/>
      <c r="N56" s="115"/>
      <c r="O56" s="116" t="s">
        <v>150</v>
      </c>
      <c r="P56" s="13"/>
      <c r="Q56" s="14"/>
      <c r="R56" s="99" t="s">
        <v>77</v>
      </c>
      <c r="S56" s="13"/>
      <c r="T56" s="13"/>
      <c r="U56" s="14"/>
      <c r="V56" s="99" t="s">
        <v>151</v>
      </c>
      <c r="W56" s="13"/>
      <c r="X56" s="14"/>
      <c r="Y56" s="99" t="s">
        <v>152</v>
      </c>
      <c r="Z56" s="14"/>
      <c r="AA56" s="61"/>
      <c r="AB56" s="117">
        <v>1272</v>
      </c>
      <c r="AC56" s="117">
        <v>2</v>
      </c>
      <c r="AD56" s="118">
        <f>AC56/AB56</f>
        <v>0.00157232704402516</v>
      </c>
      <c r="AE56" s="41"/>
    </row>
    <row r="57" spans="1:31">
      <c r="A57" s="112" t="s">
        <v>153</v>
      </c>
      <c r="B57" s="66"/>
      <c r="C57" s="113"/>
      <c r="D57" s="66"/>
      <c r="E57" s="113"/>
      <c r="F57" s="66"/>
      <c r="G57" s="113"/>
      <c r="H57" s="66"/>
      <c r="I57" s="113"/>
      <c r="J57" s="66"/>
      <c r="K57" s="119"/>
      <c r="L57" s="66"/>
      <c r="M57" s="61"/>
      <c r="N57" s="61"/>
      <c r="O57" s="27"/>
      <c r="P57" s="53"/>
      <c r="Q57" s="41"/>
      <c r="R57" s="120"/>
      <c r="S57" s="53"/>
      <c r="T57" s="53"/>
      <c r="U57" s="121"/>
      <c r="V57" s="122"/>
      <c r="W57" s="53"/>
      <c r="X57" s="121"/>
      <c r="Y57" s="123"/>
      <c r="Z57" s="41"/>
      <c r="AA57" s="61"/>
      <c r="AB57" s="29"/>
      <c r="AC57" s="29"/>
      <c r="AD57" s="62"/>
      <c r="AE57" s="63"/>
    </row>
    <row r="58" spans="1:31">
      <c r="A58" s="112" t="s">
        <v>154</v>
      </c>
      <c r="B58" s="66"/>
      <c r="C58" s="113"/>
      <c r="D58" s="66"/>
      <c r="E58" s="113"/>
      <c r="F58" s="66"/>
      <c r="G58" s="113"/>
      <c r="H58" s="66"/>
      <c r="I58" s="113"/>
      <c r="J58" s="66"/>
      <c r="K58" s="119"/>
      <c r="L58" s="66"/>
      <c r="M58" s="61"/>
      <c r="N58" s="61"/>
      <c r="O58" s="62"/>
      <c r="P58" s="11"/>
      <c r="Q58" s="63"/>
      <c r="R58" s="62"/>
      <c r="S58" s="11"/>
      <c r="T58" s="11"/>
      <c r="U58" s="124"/>
      <c r="V58" s="125"/>
      <c r="W58" s="11"/>
      <c r="X58" s="124"/>
      <c r="Y58" s="125"/>
      <c r="Z58" s="63"/>
      <c r="AA58" s="61"/>
      <c r="AB58" s="126"/>
      <c r="AC58" s="13"/>
      <c r="AD58" s="13"/>
      <c r="AE58" s="14"/>
    </row>
    <row r="59" ht="28" customHeight="1" spans="1:31">
      <c r="A59" s="127"/>
      <c r="B59" s="127"/>
      <c r="C59" s="112" t="s">
        <v>145</v>
      </c>
      <c r="D59" s="66"/>
      <c r="E59" s="113" t="s">
        <v>155</v>
      </c>
      <c r="F59" s="66"/>
      <c r="G59" s="114" t="s">
        <v>147</v>
      </c>
      <c r="H59" s="66"/>
      <c r="I59" s="113" t="s">
        <v>148</v>
      </c>
      <c r="J59" s="66"/>
      <c r="K59" s="113" t="s">
        <v>149</v>
      </c>
      <c r="L59" s="66"/>
      <c r="M59" s="115"/>
      <c r="N59" s="115"/>
      <c r="O59" s="128" t="s">
        <v>156</v>
      </c>
      <c r="P59" s="13"/>
      <c r="Q59" s="13"/>
      <c r="R59" s="14"/>
      <c r="S59" s="99" t="s">
        <v>157</v>
      </c>
      <c r="T59" s="13"/>
      <c r="U59" s="14"/>
      <c r="V59" s="99" t="s">
        <v>158</v>
      </c>
      <c r="W59" s="13"/>
      <c r="X59" s="13"/>
      <c r="Y59" s="13"/>
      <c r="Z59" s="14"/>
      <c r="AA59" s="61"/>
      <c r="AB59" s="111" t="s">
        <v>159</v>
      </c>
      <c r="AC59" s="111" t="s">
        <v>160</v>
      </c>
      <c r="AD59" s="111" t="s">
        <v>161</v>
      </c>
      <c r="AE59" s="14"/>
    </row>
    <row r="60" spans="1:31">
      <c r="A60" s="112" t="s">
        <v>162</v>
      </c>
      <c r="B60" s="66"/>
      <c r="C60" s="113"/>
      <c r="D60" s="66"/>
      <c r="E60" s="113"/>
      <c r="F60" s="66"/>
      <c r="G60" s="113"/>
      <c r="H60" s="66"/>
      <c r="I60" s="113"/>
      <c r="J60" s="66"/>
      <c r="K60" s="119"/>
      <c r="L60" s="66"/>
      <c r="M60" s="61"/>
      <c r="N60" s="61"/>
      <c r="O60" s="128"/>
      <c r="P60" s="53"/>
      <c r="Q60" s="53"/>
      <c r="R60" s="41"/>
      <c r="S60" s="99">
        <v>0</v>
      </c>
      <c r="T60" s="53"/>
      <c r="U60" s="41"/>
      <c r="V60" s="129"/>
      <c r="W60" s="90"/>
      <c r="X60" s="90"/>
      <c r="Y60" s="90"/>
      <c r="Z60" s="91"/>
      <c r="AA60" s="61"/>
      <c r="AB60" s="99">
        <v>14100</v>
      </c>
      <c r="AC60" s="99">
        <f>S60</f>
        <v>0</v>
      </c>
      <c r="AD60" s="118">
        <f>AC60/AB60</f>
        <v>0</v>
      </c>
      <c r="AE60" s="41"/>
    </row>
    <row r="61" spans="1:31">
      <c r="A61" s="112" t="s">
        <v>163</v>
      </c>
      <c r="B61" s="66"/>
      <c r="C61" s="113"/>
      <c r="D61" s="66"/>
      <c r="E61" s="113"/>
      <c r="F61" s="66"/>
      <c r="G61" s="113"/>
      <c r="H61" s="66"/>
      <c r="I61" s="113"/>
      <c r="J61" s="66"/>
      <c r="K61" s="119"/>
      <c r="L61" s="66"/>
      <c r="M61" s="61"/>
      <c r="N61" s="61"/>
      <c r="O61" s="125"/>
      <c r="P61" s="11"/>
      <c r="Q61" s="11"/>
      <c r="R61" s="63"/>
      <c r="S61" s="62"/>
      <c r="T61" s="11"/>
      <c r="U61" s="63"/>
      <c r="V61" s="92"/>
      <c r="W61" s="93"/>
      <c r="X61" s="93"/>
      <c r="Y61" s="93"/>
      <c r="Z61" s="94"/>
      <c r="AA61" s="61"/>
      <c r="AB61" s="29"/>
      <c r="AC61" s="29"/>
      <c r="AD61" s="62"/>
      <c r="AE61" s="63"/>
    </row>
    <row r="62" spans="1:31">
      <c r="A62" s="112" t="s">
        <v>164</v>
      </c>
      <c r="B62" s="66"/>
      <c r="C62" s="113"/>
      <c r="D62" s="66"/>
      <c r="E62" s="113"/>
      <c r="F62" s="66"/>
      <c r="G62" s="113"/>
      <c r="H62" s="66"/>
      <c r="I62" s="113"/>
      <c r="J62" s="66"/>
      <c r="K62" s="119"/>
      <c r="L62" s="66"/>
      <c r="M62" s="130"/>
      <c r="N62" s="6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61"/>
      <c r="AB62" s="131"/>
      <c r="AC62" s="131"/>
      <c r="AD62" s="132"/>
      <c r="AE62" s="132"/>
    </row>
    <row r="63" spans="1:31">
      <c r="A63" s="112" t="s">
        <v>165</v>
      </c>
      <c r="B63" s="66"/>
      <c r="C63" s="113"/>
      <c r="D63" s="66"/>
      <c r="E63" s="113"/>
      <c r="F63" s="66"/>
      <c r="G63" s="113"/>
      <c r="H63" s="66"/>
      <c r="I63" s="113"/>
      <c r="J63" s="66"/>
      <c r="K63" s="119"/>
      <c r="L63" s="66"/>
      <c r="M63" s="130"/>
      <c r="N63" s="6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61"/>
      <c r="AB63" s="131"/>
      <c r="AC63" s="131"/>
      <c r="AD63" s="132"/>
      <c r="AE63" s="132"/>
    </row>
    <row r="64" spans="1:3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</row>
    <row r="65" ht="21" customHeight="1" spans="1:31">
      <c r="A65" s="109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4"/>
    </row>
    <row r="66" ht="24" customHeight="1" spans="1:31">
      <c r="A66" s="133" t="s">
        <v>166</v>
      </c>
      <c r="B66" s="133" t="s">
        <v>167</v>
      </c>
      <c r="C66" s="133" t="s">
        <v>168</v>
      </c>
      <c r="D66" s="134" t="s">
        <v>169</v>
      </c>
      <c r="E66" s="133" t="s">
        <v>170</v>
      </c>
      <c r="F66" s="133" t="s">
        <v>171</v>
      </c>
      <c r="G66" s="14"/>
      <c r="H66" s="133" t="s">
        <v>172</v>
      </c>
      <c r="I66" s="133" t="s">
        <v>173</v>
      </c>
      <c r="J66" s="133" t="s">
        <v>174</v>
      </c>
      <c r="K66" s="133" t="s">
        <v>171</v>
      </c>
      <c r="L66" s="133" t="s">
        <v>175</v>
      </c>
      <c r="M66" s="133" t="s">
        <v>176</v>
      </c>
      <c r="N66" s="133" t="s">
        <v>177</v>
      </c>
      <c r="O66" s="133" t="s">
        <v>178</v>
      </c>
      <c r="P66" s="133" t="s">
        <v>179</v>
      </c>
      <c r="Q66" s="133" t="s">
        <v>177</v>
      </c>
      <c r="R66" s="133" t="s">
        <v>180</v>
      </c>
      <c r="S66" s="133" t="s">
        <v>181</v>
      </c>
      <c r="T66" s="14"/>
      <c r="U66" s="133" t="s">
        <v>170</v>
      </c>
      <c r="V66" s="133" t="s">
        <v>171</v>
      </c>
      <c r="W66" s="133" t="s">
        <v>182</v>
      </c>
      <c r="X66" s="133" t="s">
        <v>183</v>
      </c>
      <c r="Y66" s="133" t="s">
        <v>184</v>
      </c>
      <c r="Z66" s="133" t="s">
        <v>185</v>
      </c>
      <c r="AA66" s="133" t="s">
        <v>186</v>
      </c>
      <c r="AB66" s="133" t="s">
        <v>187</v>
      </c>
      <c r="AC66" s="133" t="s">
        <v>188</v>
      </c>
      <c r="AD66" s="133" t="s">
        <v>189</v>
      </c>
      <c r="AE66" s="133" t="s">
        <v>190</v>
      </c>
    </row>
    <row r="67" spans="1:31">
      <c r="A67" s="135" t="s">
        <v>191</v>
      </c>
      <c r="B67" s="136" t="s">
        <v>192</v>
      </c>
      <c r="C67" s="135" t="s">
        <v>193</v>
      </c>
      <c r="D67" s="137"/>
      <c r="E67" s="135"/>
      <c r="F67" s="138">
        <f>E67/3150</f>
        <v>0</v>
      </c>
      <c r="G67" s="91"/>
      <c r="H67" s="139" t="s">
        <v>194</v>
      </c>
      <c r="I67" s="140" t="s">
        <v>195</v>
      </c>
      <c r="J67" s="135"/>
      <c r="K67" s="141">
        <f>J67/300</f>
        <v>0</v>
      </c>
      <c r="L67" s="135" t="s">
        <v>193</v>
      </c>
      <c r="M67" s="135"/>
      <c r="N67" s="135"/>
      <c r="O67" s="142" t="s">
        <v>196</v>
      </c>
      <c r="P67" s="143"/>
      <c r="Q67" s="143"/>
      <c r="R67" s="144"/>
      <c r="S67" s="145" t="s">
        <v>197</v>
      </c>
      <c r="T67" s="146"/>
      <c r="U67" s="147">
        <f>R67*0.935</f>
        <v>0</v>
      </c>
      <c r="V67" s="147">
        <f>U67/215</f>
        <v>0</v>
      </c>
      <c r="W67" s="139">
        <v>202</v>
      </c>
      <c r="X67" s="141">
        <f>SUM(U67:U86)</f>
        <v>0</v>
      </c>
      <c r="Y67" s="141">
        <f>X67/2350</f>
        <v>0</v>
      </c>
      <c r="Z67" s="135">
        <v>220</v>
      </c>
      <c r="AA67" s="135">
        <v>0</v>
      </c>
      <c r="AB67" s="141">
        <f>AA67/Z67</f>
        <v>0</v>
      </c>
      <c r="AC67" s="135">
        <v>20</v>
      </c>
      <c r="AD67" s="135">
        <v>0</v>
      </c>
      <c r="AE67" s="135" t="s">
        <v>198</v>
      </c>
    </row>
    <row r="68" spans="1:31">
      <c r="A68" s="52"/>
      <c r="B68" s="148"/>
      <c r="C68" s="52"/>
      <c r="D68" s="52"/>
      <c r="E68" s="52"/>
      <c r="F68" s="149"/>
      <c r="G68" s="150"/>
      <c r="H68" s="52"/>
      <c r="I68" s="148"/>
      <c r="J68" s="52"/>
      <c r="K68" s="151"/>
      <c r="L68" s="52"/>
      <c r="M68" s="52"/>
      <c r="N68" s="52"/>
      <c r="O68" s="142" t="s">
        <v>199</v>
      </c>
      <c r="P68" s="143"/>
      <c r="Q68" s="143"/>
      <c r="R68" s="144"/>
      <c r="S68" s="145" t="s">
        <v>200</v>
      </c>
      <c r="T68" s="146"/>
      <c r="U68" s="147">
        <f t="shared" ref="U68:U99" si="0">R68*0.935</f>
        <v>0</v>
      </c>
      <c r="V68" s="147">
        <f t="shared" ref="V68:V99" si="1">U68/215</f>
        <v>0</v>
      </c>
      <c r="W68" s="152"/>
      <c r="X68" s="151"/>
      <c r="Y68" s="151"/>
      <c r="Z68" s="153"/>
      <c r="AA68" s="153"/>
      <c r="AB68" s="151"/>
      <c r="AC68" s="153"/>
      <c r="AD68" s="153"/>
      <c r="AE68" s="52"/>
    </row>
    <row r="69" spans="1:31">
      <c r="A69" s="52"/>
      <c r="B69" s="148"/>
      <c r="C69" s="52"/>
      <c r="D69" s="52"/>
      <c r="E69" s="52"/>
      <c r="F69" s="149"/>
      <c r="G69" s="150"/>
      <c r="H69" s="52"/>
      <c r="I69" s="148"/>
      <c r="J69" s="52"/>
      <c r="K69" s="151"/>
      <c r="L69" s="52"/>
      <c r="M69" s="52"/>
      <c r="N69" s="52"/>
      <c r="O69" s="142" t="s">
        <v>201</v>
      </c>
      <c r="P69" s="143"/>
      <c r="Q69" s="143"/>
      <c r="R69" s="144"/>
      <c r="S69" s="145" t="s">
        <v>202</v>
      </c>
      <c r="T69" s="146"/>
      <c r="U69" s="147">
        <f t="shared" si="0"/>
        <v>0</v>
      </c>
      <c r="V69" s="147">
        <f t="shared" si="1"/>
        <v>0</v>
      </c>
      <c r="W69" s="152"/>
      <c r="X69" s="151"/>
      <c r="Y69" s="151"/>
      <c r="Z69" s="153"/>
      <c r="AA69" s="153"/>
      <c r="AB69" s="151"/>
      <c r="AC69" s="153"/>
      <c r="AD69" s="153"/>
      <c r="AE69" s="52"/>
    </row>
    <row r="70" spans="1:31">
      <c r="A70" s="52"/>
      <c r="B70" s="148"/>
      <c r="C70" s="52"/>
      <c r="D70" s="52"/>
      <c r="E70" s="52"/>
      <c r="F70" s="149"/>
      <c r="G70" s="150"/>
      <c r="H70" s="52"/>
      <c r="I70" s="148"/>
      <c r="J70" s="52"/>
      <c r="K70" s="151"/>
      <c r="L70" s="52"/>
      <c r="M70" s="52"/>
      <c r="N70" s="52"/>
      <c r="O70" s="142" t="s">
        <v>203</v>
      </c>
      <c r="P70" s="143"/>
      <c r="Q70" s="143"/>
      <c r="R70" s="144"/>
      <c r="S70" s="145" t="s">
        <v>204</v>
      </c>
      <c r="T70" s="146"/>
      <c r="U70" s="147">
        <f t="shared" si="0"/>
        <v>0</v>
      </c>
      <c r="V70" s="147">
        <f t="shared" si="1"/>
        <v>0</v>
      </c>
      <c r="W70" s="152"/>
      <c r="X70" s="151"/>
      <c r="Y70" s="151"/>
      <c r="Z70" s="153"/>
      <c r="AA70" s="153"/>
      <c r="AB70" s="151"/>
      <c r="AC70" s="153"/>
      <c r="AD70" s="153"/>
      <c r="AE70" s="52"/>
    </row>
    <row r="71" spans="1:31">
      <c r="A71" s="52"/>
      <c r="B71" s="148"/>
      <c r="C71" s="52"/>
      <c r="D71" s="52"/>
      <c r="E71" s="52"/>
      <c r="F71" s="149"/>
      <c r="G71" s="150"/>
      <c r="H71" s="52"/>
      <c r="I71" s="148"/>
      <c r="J71" s="52"/>
      <c r="K71" s="151"/>
      <c r="L71" s="52"/>
      <c r="M71" s="52"/>
      <c r="N71" s="52"/>
      <c r="O71" s="142" t="s">
        <v>205</v>
      </c>
      <c r="P71" s="143"/>
      <c r="Q71" s="143"/>
      <c r="R71" s="144"/>
      <c r="S71" s="145" t="s">
        <v>206</v>
      </c>
      <c r="T71" s="146"/>
      <c r="U71" s="147">
        <f t="shared" si="0"/>
        <v>0</v>
      </c>
      <c r="V71" s="147">
        <f t="shared" si="1"/>
        <v>0</v>
      </c>
      <c r="W71" s="152"/>
      <c r="X71" s="151"/>
      <c r="Y71" s="151"/>
      <c r="Z71" s="153"/>
      <c r="AA71" s="153"/>
      <c r="AB71" s="151"/>
      <c r="AC71" s="153"/>
      <c r="AD71" s="153"/>
      <c r="AE71" s="52"/>
    </row>
    <row r="72" spans="1:31">
      <c r="A72" s="52"/>
      <c r="B72" s="148"/>
      <c r="C72" s="52"/>
      <c r="D72" s="52"/>
      <c r="E72" s="52"/>
      <c r="F72" s="149"/>
      <c r="G72" s="150"/>
      <c r="H72" s="52"/>
      <c r="I72" s="148"/>
      <c r="J72" s="52"/>
      <c r="K72" s="151"/>
      <c r="L72" s="52"/>
      <c r="M72" s="52"/>
      <c r="N72" s="52"/>
      <c r="O72" s="142" t="s">
        <v>207</v>
      </c>
      <c r="P72" s="143"/>
      <c r="Q72" s="143"/>
      <c r="R72" s="144"/>
      <c r="S72" s="145" t="s">
        <v>208</v>
      </c>
      <c r="T72" s="146"/>
      <c r="U72" s="147">
        <f t="shared" si="0"/>
        <v>0</v>
      </c>
      <c r="V72" s="147">
        <f t="shared" si="1"/>
        <v>0</v>
      </c>
      <c r="W72" s="152"/>
      <c r="X72" s="151"/>
      <c r="Y72" s="151"/>
      <c r="Z72" s="153"/>
      <c r="AA72" s="153"/>
      <c r="AB72" s="151"/>
      <c r="AC72" s="153"/>
      <c r="AD72" s="153"/>
      <c r="AE72" s="135"/>
    </row>
    <row r="73" spans="1:31">
      <c r="A73" s="52"/>
      <c r="B73" s="148"/>
      <c r="C73" s="52"/>
      <c r="D73" s="52"/>
      <c r="E73" s="52"/>
      <c r="F73" s="149"/>
      <c r="G73" s="150"/>
      <c r="H73" s="52"/>
      <c r="I73" s="148"/>
      <c r="J73" s="52"/>
      <c r="K73" s="151"/>
      <c r="L73" s="52"/>
      <c r="M73" s="52"/>
      <c r="N73" s="52"/>
      <c r="O73" s="142" t="s">
        <v>209</v>
      </c>
      <c r="P73" s="143"/>
      <c r="Q73" s="143"/>
      <c r="R73" s="144"/>
      <c r="S73" s="145" t="s">
        <v>210</v>
      </c>
      <c r="T73" s="146"/>
      <c r="U73" s="147">
        <f t="shared" si="0"/>
        <v>0</v>
      </c>
      <c r="V73" s="147">
        <f t="shared" si="1"/>
        <v>0</v>
      </c>
      <c r="W73" s="152"/>
      <c r="X73" s="151"/>
      <c r="Y73" s="151"/>
      <c r="Z73" s="153"/>
      <c r="AA73" s="153"/>
      <c r="AB73" s="151"/>
      <c r="AC73" s="153"/>
      <c r="AD73" s="153"/>
      <c r="AE73" s="52"/>
    </row>
    <row r="74" spans="1:31">
      <c r="A74" s="52"/>
      <c r="B74" s="148"/>
      <c r="C74" s="52"/>
      <c r="D74" s="52"/>
      <c r="E74" s="52"/>
      <c r="F74" s="149"/>
      <c r="G74" s="150"/>
      <c r="H74" s="52"/>
      <c r="I74" s="148"/>
      <c r="J74" s="52"/>
      <c r="K74" s="151"/>
      <c r="L74" s="52"/>
      <c r="M74" s="52"/>
      <c r="N74" s="52"/>
      <c r="O74" s="142" t="s">
        <v>211</v>
      </c>
      <c r="P74" s="143"/>
      <c r="Q74" s="143"/>
      <c r="R74" s="144"/>
      <c r="S74" s="145" t="s">
        <v>212</v>
      </c>
      <c r="T74" s="146"/>
      <c r="U74" s="147">
        <f t="shared" si="0"/>
        <v>0</v>
      </c>
      <c r="V74" s="147">
        <f t="shared" si="1"/>
        <v>0</v>
      </c>
      <c r="W74" s="152"/>
      <c r="X74" s="151"/>
      <c r="Y74" s="151"/>
      <c r="Z74" s="153"/>
      <c r="AA74" s="153"/>
      <c r="AB74" s="151"/>
      <c r="AC74" s="153"/>
      <c r="AD74" s="153"/>
      <c r="AE74" s="52"/>
    </row>
    <row r="75" spans="1:31">
      <c r="A75" s="52"/>
      <c r="B75" s="148"/>
      <c r="C75" s="52"/>
      <c r="D75" s="52"/>
      <c r="E75" s="52"/>
      <c r="F75" s="149"/>
      <c r="G75" s="150"/>
      <c r="H75" s="52"/>
      <c r="I75" s="148"/>
      <c r="J75" s="52"/>
      <c r="K75" s="151"/>
      <c r="L75" s="52"/>
      <c r="M75" s="52"/>
      <c r="N75" s="52"/>
      <c r="O75" s="142" t="s">
        <v>213</v>
      </c>
      <c r="P75" s="143"/>
      <c r="Q75" s="143"/>
      <c r="R75" s="144"/>
      <c r="S75" s="145" t="s">
        <v>214</v>
      </c>
      <c r="T75" s="146"/>
      <c r="U75" s="147">
        <f t="shared" si="0"/>
        <v>0</v>
      </c>
      <c r="V75" s="147">
        <f t="shared" si="1"/>
        <v>0</v>
      </c>
      <c r="W75" s="152"/>
      <c r="X75" s="151"/>
      <c r="Y75" s="151"/>
      <c r="Z75" s="153"/>
      <c r="AA75" s="153"/>
      <c r="AB75" s="151"/>
      <c r="AC75" s="153"/>
      <c r="AD75" s="153"/>
      <c r="AE75" s="52"/>
    </row>
    <row r="76" spans="1:31">
      <c r="A76" s="52"/>
      <c r="B76" s="148"/>
      <c r="C76" s="52"/>
      <c r="D76" s="29"/>
      <c r="E76" s="52"/>
      <c r="F76" s="92"/>
      <c r="G76" s="94"/>
      <c r="H76" s="52"/>
      <c r="I76" s="148"/>
      <c r="J76" s="52"/>
      <c r="K76" s="151"/>
      <c r="L76" s="52"/>
      <c r="M76" s="52"/>
      <c r="N76" s="52"/>
      <c r="O76" s="142" t="s">
        <v>215</v>
      </c>
      <c r="P76" s="143"/>
      <c r="Q76" s="143"/>
      <c r="R76" s="144"/>
      <c r="S76" s="145" t="s">
        <v>216</v>
      </c>
      <c r="T76" s="146"/>
      <c r="U76" s="147">
        <f t="shared" si="0"/>
        <v>0</v>
      </c>
      <c r="V76" s="147">
        <f t="shared" si="1"/>
        <v>0</v>
      </c>
      <c r="W76" s="152"/>
      <c r="X76" s="151"/>
      <c r="Y76" s="151"/>
      <c r="Z76" s="153"/>
      <c r="AA76" s="153"/>
      <c r="AB76" s="151"/>
      <c r="AC76" s="153"/>
      <c r="AD76" s="153"/>
      <c r="AE76" s="52"/>
    </row>
    <row r="77" spans="1:31">
      <c r="A77" s="52"/>
      <c r="B77" s="136" t="s">
        <v>217</v>
      </c>
      <c r="C77" s="135" t="s">
        <v>193</v>
      </c>
      <c r="D77" s="137"/>
      <c r="E77" s="135"/>
      <c r="F77" s="138">
        <f>E77/3150</f>
        <v>0</v>
      </c>
      <c r="G77" s="91"/>
      <c r="H77" s="139" t="s">
        <v>194</v>
      </c>
      <c r="I77" s="148"/>
      <c r="J77" s="52"/>
      <c r="K77" s="151"/>
      <c r="L77" s="52"/>
      <c r="M77" s="52"/>
      <c r="N77" s="52"/>
      <c r="O77" s="142" t="s">
        <v>218</v>
      </c>
      <c r="P77" s="143"/>
      <c r="Q77" s="143"/>
      <c r="R77" s="144"/>
      <c r="S77" s="154" t="s">
        <v>219</v>
      </c>
      <c r="T77" s="146"/>
      <c r="U77" s="147">
        <f t="shared" si="0"/>
        <v>0</v>
      </c>
      <c r="V77" s="147">
        <f t="shared" si="1"/>
        <v>0</v>
      </c>
      <c r="W77" s="152"/>
      <c r="X77" s="151"/>
      <c r="Y77" s="151"/>
      <c r="Z77" s="153"/>
      <c r="AA77" s="153"/>
      <c r="AB77" s="151"/>
      <c r="AC77" s="153"/>
      <c r="AD77" s="153"/>
      <c r="AE77" s="143" t="s">
        <v>220</v>
      </c>
    </row>
    <row r="78" spans="1:31">
      <c r="A78" s="52"/>
      <c r="B78" s="148"/>
      <c r="C78" s="52"/>
      <c r="D78" s="52"/>
      <c r="E78" s="52"/>
      <c r="F78" s="149"/>
      <c r="G78" s="150"/>
      <c r="H78" s="52"/>
      <c r="I78" s="148"/>
      <c r="J78" s="52"/>
      <c r="K78" s="151"/>
      <c r="L78" s="52"/>
      <c r="M78" s="52"/>
      <c r="N78" s="52"/>
      <c r="O78" s="142" t="s">
        <v>221</v>
      </c>
      <c r="P78" s="143"/>
      <c r="Q78" s="143"/>
      <c r="R78" s="144"/>
      <c r="S78" s="154" t="s">
        <v>222</v>
      </c>
      <c r="T78" s="146"/>
      <c r="U78" s="147">
        <f t="shared" si="0"/>
        <v>0</v>
      </c>
      <c r="V78" s="147">
        <f t="shared" si="1"/>
        <v>0</v>
      </c>
      <c r="W78" s="152"/>
      <c r="X78" s="151"/>
      <c r="Y78" s="151"/>
      <c r="Z78" s="153"/>
      <c r="AA78" s="153"/>
      <c r="AB78" s="151"/>
      <c r="AC78" s="153"/>
      <c r="AD78" s="153"/>
      <c r="AE78" s="52"/>
    </row>
    <row r="79" spans="1:31">
      <c r="A79" s="52"/>
      <c r="B79" s="148"/>
      <c r="C79" s="52"/>
      <c r="D79" s="52"/>
      <c r="E79" s="52"/>
      <c r="F79" s="149"/>
      <c r="G79" s="150"/>
      <c r="H79" s="52"/>
      <c r="I79" s="148"/>
      <c r="J79" s="52"/>
      <c r="K79" s="151"/>
      <c r="L79" s="52"/>
      <c r="M79" s="52"/>
      <c r="N79" s="52"/>
      <c r="O79" s="142" t="s">
        <v>223</v>
      </c>
      <c r="P79" s="143"/>
      <c r="Q79" s="143"/>
      <c r="R79" s="144"/>
      <c r="S79" s="154" t="s">
        <v>224</v>
      </c>
      <c r="T79" s="146"/>
      <c r="U79" s="147">
        <f t="shared" si="0"/>
        <v>0</v>
      </c>
      <c r="V79" s="147">
        <f t="shared" si="1"/>
        <v>0</v>
      </c>
      <c r="W79" s="152"/>
      <c r="X79" s="151"/>
      <c r="Y79" s="151"/>
      <c r="Z79" s="153"/>
      <c r="AA79" s="153"/>
      <c r="AB79" s="151"/>
      <c r="AC79" s="153"/>
      <c r="AD79" s="153"/>
      <c r="AE79" s="52"/>
    </row>
    <row r="80" spans="1:31">
      <c r="A80" s="52"/>
      <c r="B80" s="148"/>
      <c r="C80" s="52"/>
      <c r="D80" s="52"/>
      <c r="E80" s="52"/>
      <c r="F80" s="149"/>
      <c r="G80" s="150"/>
      <c r="H80" s="52"/>
      <c r="I80" s="148"/>
      <c r="J80" s="52"/>
      <c r="K80" s="151"/>
      <c r="L80" s="52"/>
      <c r="M80" s="52"/>
      <c r="N80" s="52"/>
      <c r="O80" s="142" t="s">
        <v>225</v>
      </c>
      <c r="P80" s="143"/>
      <c r="Q80" s="143"/>
      <c r="R80" s="144"/>
      <c r="S80" s="154" t="s">
        <v>226</v>
      </c>
      <c r="T80" s="146"/>
      <c r="U80" s="147">
        <f t="shared" si="0"/>
        <v>0</v>
      </c>
      <c r="V80" s="147">
        <f t="shared" si="1"/>
        <v>0</v>
      </c>
      <c r="W80" s="152"/>
      <c r="X80" s="151"/>
      <c r="Y80" s="151"/>
      <c r="Z80" s="153"/>
      <c r="AA80" s="153"/>
      <c r="AB80" s="151"/>
      <c r="AC80" s="153"/>
      <c r="AD80" s="153"/>
      <c r="AE80" s="52"/>
    </row>
    <row r="81" spans="1:31">
      <c r="A81" s="52"/>
      <c r="B81" s="148"/>
      <c r="C81" s="52"/>
      <c r="D81" s="52"/>
      <c r="E81" s="52"/>
      <c r="F81" s="149"/>
      <c r="G81" s="150"/>
      <c r="H81" s="52"/>
      <c r="I81" s="148"/>
      <c r="J81" s="52"/>
      <c r="K81" s="151"/>
      <c r="L81" s="52"/>
      <c r="M81" s="52"/>
      <c r="N81" s="52"/>
      <c r="O81" s="142" t="s">
        <v>227</v>
      </c>
      <c r="P81" s="143"/>
      <c r="Q81" s="143"/>
      <c r="R81" s="144"/>
      <c r="S81" s="154" t="s">
        <v>228</v>
      </c>
      <c r="T81" s="146"/>
      <c r="U81" s="147">
        <f t="shared" si="0"/>
        <v>0</v>
      </c>
      <c r="V81" s="147">
        <f t="shared" si="1"/>
        <v>0</v>
      </c>
      <c r="W81" s="152"/>
      <c r="X81" s="151"/>
      <c r="Y81" s="151"/>
      <c r="Z81" s="153"/>
      <c r="AA81" s="153"/>
      <c r="AB81" s="151"/>
      <c r="AC81" s="153"/>
      <c r="AD81" s="153"/>
      <c r="AE81" s="29"/>
    </row>
    <row r="82" spans="1:31">
      <c r="A82" s="52"/>
      <c r="B82" s="148"/>
      <c r="C82" s="52"/>
      <c r="D82" s="52"/>
      <c r="E82" s="52"/>
      <c r="F82" s="149"/>
      <c r="G82" s="150"/>
      <c r="H82" s="52"/>
      <c r="I82" s="148"/>
      <c r="J82" s="52"/>
      <c r="K82" s="151"/>
      <c r="L82" s="52"/>
      <c r="M82" s="52"/>
      <c r="N82" s="52"/>
      <c r="O82" s="142" t="s">
        <v>229</v>
      </c>
      <c r="P82" s="143"/>
      <c r="Q82" s="143"/>
      <c r="R82" s="144"/>
      <c r="S82" s="154" t="s">
        <v>230</v>
      </c>
      <c r="T82" s="146"/>
      <c r="U82" s="147">
        <f t="shared" si="0"/>
        <v>0</v>
      </c>
      <c r="V82" s="147">
        <f t="shared" si="1"/>
        <v>0</v>
      </c>
      <c r="W82" s="152"/>
      <c r="X82" s="151"/>
      <c r="Y82" s="151"/>
      <c r="Z82" s="153"/>
      <c r="AA82" s="153"/>
      <c r="AB82" s="151"/>
      <c r="AC82" s="153"/>
      <c r="AD82" s="153"/>
      <c r="AE82" s="135"/>
    </row>
    <row r="83" spans="1:31">
      <c r="A83" s="52"/>
      <c r="B83" s="148"/>
      <c r="C83" s="52"/>
      <c r="D83" s="52"/>
      <c r="E83" s="52"/>
      <c r="F83" s="149"/>
      <c r="G83" s="150"/>
      <c r="H83" s="52"/>
      <c r="I83" s="148"/>
      <c r="J83" s="52"/>
      <c r="K83" s="151"/>
      <c r="L83" s="52"/>
      <c r="M83" s="52"/>
      <c r="N83" s="52"/>
      <c r="O83" s="142" t="s">
        <v>231</v>
      </c>
      <c r="P83" s="143"/>
      <c r="Q83" s="143"/>
      <c r="R83" s="144"/>
      <c r="S83" s="154" t="s">
        <v>232</v>
      </c>
      <c r="T83" s="146"/>
      <c r="U83" s="147">
        <f t="shared" si="0"/>
        <v>0</v>
      </c>
      <c r="V83" s="147">
        <f t="shared" si="1"/>
        <v>0</v>
      </c>
      <c r="W83" s="152"/>
      <c r="X83" s="151"/>
      <c r="Y83" s="151"/>
      <c r="Z83" s="153"/>
      <c r="AA83" s="153"/>
      <c r="AB83" s="151"/>
      <c r="AC83" s="153"/>
      <c r="AD83" s="153"/>
      <c r="AE83" s="52"/>
    </row>
    <row r="84" spans="1:31">
      <c r="A84" s="52"/>
      <c r="B84" s="148"/>
      <c r="C84" s="52"/>
      <c r="D84" s="52"/>
      <c r="E84" s="52"/>
      <c r="F84" s="149"/>
      <c r="G84" s="150"/>
      <c r="H84" s="52"/>
      <c r="I84" s="148"/>
      <c r="J84" s="52"/>
      <c r="K84" s="151"/>
      <c r="L84" s="52"/>
      <c r="M84" s="52"/>
      <c r="N84" s="52"/>
      <c r="O84" s="142" t="s">
        <v>233</v>
      </c>
      <c r="P84" s="143"/>
      <c r="Q84" s="143"/>
      <c r="R84" s="144"/>
      <c r="S84" s="154" t="s">
        <v>234</v>
      </c>
      <c r="T84" s="146"/>
      <c r="U84" s="147">
        <f t="shared" si="0"/>
        <v>0</v>
      </c>
      <c r="V84" s="147">
        <f t="shared" si="1"/>
        <v>0</v>
      </c>
      <c r="W84" s="152"/>
      <c r="X84" s="151"/>
      <c r="Y84" s="151"/>
      <c r="Z84" s="153"/>
      <c r="AA84" s="153"/>
      <c r="AB84" s="151"/>
      <c r="AC84" s="153"/>
      <c r="AD84" s="153"/>
      <c r="AE84" s="52"/>
    </row>
    <row r="85" spans="1:31">
      <c r="A85" s="52"/>
      <c r="B85" s="148"/>
      <c r="C85" s="52"/>
      <c r="D85" s="52"/>
      <c r="E85" s="52"/>
      <c r="F85" s="149"/>
      <c r="G85" s="150"/>
      <c r="H85" s="52"/>
      <c r="I85" s="148"/>
      <c r="J85" s="52"/>
      <c r="K85" s="151"/>
      <c r="L85" s="52"/>
      <c r="M85" s="52"/>
      <c r="N85" s="52"/>
      <c r="O85" s="142" t="s">
        <v>235</v>
      </c>
      <c r="P85" s="143"/>
      <c r="Q85" s="143"/>
      <c r="R85" s="144"/>
      <c r="S85" s="154" t="s">
        <v>236</v>
      </c>
      <c r="T85" s="146"/>
      <c r="U85" s="147">
        <f t="shared" si="0"/>
        <v>0</v>
      </c>
      <c r="V85" s="147">
        <f t="shared" si="1"/>
        <v>0</v>
      </c>
      <c r="W85" s="152"/>
      <c r="X85" s="151"/>
      <c r="Y85" s="151"/>
      <c r="Z85" s="153"/>
      <c r="AA85" s="153"/>
      <c r="AB85" s="151"/>
      <c r="AC85" s="153"/>
      <c r="AD85" s="153"/>
      <c r="AE85" s="52"/>
    </row>
    <row r="86" spans="1:31">
      <c r="A86" s="52"/>
      <c r="B86" s="148"/>
      <c r="C86" s="52"/>
      <c r="D86" s="29"/>
      <c r="E86" s="52"/>
      <c r="F86" s="92"/>
      <c r="G86" s="94"/>
      <c r="H86" s="52"/>
      <c r="I86" s="148"/>
      <c r="J86" s="52"/>
      <c r="K86" s="151"/>
      <c r="L86" s="52"/>
      <c r="M86" s="52"/>
      <c r="N86" s="52"/>
      <c r="O86" s="142" t="s">
        <v>237</v>
      </c>
      <c r="P86" s="143"/>
      <c r="Q86" s="143"/>
      <c r="R86" s="144"/>
      <c r="S86" s="154" t="s">
        <v>238</v>
      </c>
      <c r="T86" s="146"/>
      <c r="U86" s="147">
        <f t="shared" si="0"/>
        <v>0</v>
      </c>
      <c r="V86" s="147">
        <f t="shared" si="1"/>
        <v>0</v>
      </c>
      <c r="W86" s="152"/>
      <c r="X86" s="151"/>
      <c r="Y86" s="151"/>
      <c r="Z86" s="153"/>
      <c r="AA86" s="153"/>
      <c r="AB86" s="151"/>
      <c r="AC86" s="153"/>
      <c r="AD86" s="153"/>
      <c r="AE86" s="52"/>
    </row>
    <row r="87" spans="1:31">
      <c r="A87" s="135" t="s">
        <v>239</v>
      </c>
      <c r="B87" s="136" t="s">
        <v>240</v>
      </c>
      <c r="C87" s="135" t="s">
        <v>193</v>
      </c>
      <c r="D87" s="137"/>
      <c r="E87" s="135"/>
      <c r="F87" s="138">
        <f>E87/3150</f>
        <v>0</v>
      </c>
      <c r="G87" s="91"/>
      <c r="H87" s="139" t="s">
        <v>194</v>
      </c>
      <c r="I87" s="155" t="s">
        <v>241</v>
      </c>
      <c r="J87" s="135"/>
      <c r="K87" s="141">
        <f>J87/300</f>
        <v>0</v>
      </c>
      <c r="L87" s="135" t="s">
        <v>193</v>
      </c>
      <c r="M87" s="135"/>
      <c r="N87" s="135"/>
      <c r="O87" s="142" t="s">
        <v>242</v>
      </c>
      <c r="P87" s="143"/>
      <c r="Q87" s="143"/>
      <c r="R87" s="144"/>
      <c r="S87" s="145" t="s">
        <v>243</v>
      </c>
      <c r="T87" s="146"/>
      <c r="U87" s="147">
        <f t="shared" si="0"/>
        <v>0</v>
      </c>
      <c r="V87" s="147">
        <f t="shared" si="1"/>
        <v>0</v>
      </c>
      <c r="W87" s="139">
        <v>201</v>
      </c>
      <c r="X87" s="141">
        <f>SUM(U87:U106)</f>
        <v>0</v>
      </c>
      <c r="Y87" s="141">
        <f>X87/2350</f>
        <v>0</v>
      </c>
      <c r="Z87" s="135">
        <v>170</v>
      </c>
      <c r="AA87" s="135">
        <v>0</v>
      </c>
      <c r="AB87" s="141">
        <f>AA87/Z87</f>
        <v>0</v>
      </c>
      <c r="AC87" s="135">
        <v>20</v>
      </c>
      <c r="AD87" s="135">
        <v>0</v>
      </c>
      <c r="AE87" s="135" t="s">
        <v>198</v>
      </c>
    </row>
    <row r="88" spans="1:31">
      <c r="A88" s="52"/>
      <c r="B88" s="148"/>
      <c r="C88" s="52"/>
      <c r="D88" s="52"/>
      <c r="E88" s="52"/>
      <c r="F88" s="149"/>
      <c r="G88" s="150"/>
      <c r="H88" s="52"/>
      <c r="I88" s="148"/>
      <c r="J88" s="52"/>
      <c r="K88" s="151"/>
      <c r="L88" s="52"/>
      <c r="M88" s="52"/>
      <c r="N88" s="52"/>
      <c r="O88" s="142" t="s">
        <v>244</v>
      </c>
      <c r="P88" s="143"/>
      <c r="Q88" s="143"/>
      <c r="R88" s="144"/>
      <c r="S88" s="145" t="s">
        <v>245</v>
      </c>
      <c r="T88" s="146"/>
      <c r="U88" s="147">
        <f t="shared" si="0"/>
        <v>0</v>
      </c>
      <c r="V88" s="147">
        <f t="shared" si="1"/>
        <v>0</v>
      </c>
      <c r="W88" s="152"/>
      <c r="X88" s="151"/>
      <c r="Y88" s="151"/>
      <c r="Z88" s="153"/>
      <c r="AA88" s="153"/>
      <c r="AB88" s="151"/>
      <c r="AC88" s="153"/>
      <c r="AD88" s="153"/>
      <c r="AE88" s="52"/>
    </row>
    <row r="89" spans="1:31">
      <c r="A89" s="52"/>
      <c r="B89" s="148"/>
      <c r="C89" s="52"/>
      <c r="D89" s="52"/>
      <c r="E89" s="52"/>
      <c r="F89" s="149"/>
      <c r="G89" s="150"/>
      <c r="H89" s="52"/>
      <c r="I89" s="148"/>
      <c r="J89" s="52"/>
      <c r="K89" s="151"/>
      <c r="L89" s="52"/>
      <c r="M89" s="52"/>
      <c r="N89" s="52"/>
      <c r="O89" s="142" t="s">
        <v>246</v>
      </c>
      <c r="P89" s="143"/>
      <c r="Q89" s="143"/>
      <c r="R89" s="144"/>
      <c r="S89" s="145" t="s">
        <v>247</v>
      </c>
      <c r="T89" s="146"/>
      <c r="U89" s="147">
        <f t="shared" si="0"/>
        <v>0</v>
      </c>
      <c r="V89" s="147">
        <f t="shared" si="1"/>
        <v>0</v>
      </c>
      <c r="W89" s="152"/>
      <c r="X89" s="151"/>
      <c r="Y89" s="151"/>
      <c r="Z89" s="153"/>
      <c r="AA89" s="153"/>
      <c r="AB89" s="151"/>
      <c r="AC89" s="153"/>
      <c r="AD89" s="153"/>
      <c r="AE89" s="52"/>
    </row>
    <row r="90" spans="1:31">
      <c r="A90" s="52"/>
      <c r="B90" s="148"/>
      <c r="C90" s="52"/>
      <c r="D90" s="52"/>
      <c r="E90" s="52"/>
      <c r="F90" s="149"/>
      <c r="G90" s="150"/>
      <c r="H90" s="52"/>
      <c r="I90" s="148"/>
      <c r="J90" s="52"/>
      <c r="K90" s="151"/>
      <c r="L90" s="52"/>
      <c r="M90" s="52"/>
      <c r="N90" s="52"/>
      <c r="O90" s="142" t="s">
        <v>248</v>
      </c>
      <c r="P90" s="143"/>
      <c r="Q90" s="143"/>
      <c r="R90" s="144"/>
      <c r="S90" s="145" t="s">
        <v>249</v>
      </c>
      <c r="T90" s="146"/>
      <c r="U90" s="147">
        <f t="shared" si="0"/>
        <v>0</v>
      </c>
      <c r="V90" s="147">
        <f t="shared" si="1"/>
        <v>0</v>
      </c>
      <c r="W90" s="152"/>
      <c r="X90" s="151"/>
      <c r="Y90" s="151"/>
      <c r="Z90" s="153"/>
      <c r="AA90" s="153"/>
      <c r="AB90" s="151"/>
      <c r="AC90" s="153"/>
      <c r="AD90" s="153"/>
      <c r="AE90" s="52"/>
    </row>
    <row r="91" spans="1:31">
      <c r="A91" s="52"/>
      <c r="B91" s="148"/>
      <c r="C91" s="52"/>
      <c r="D91" s="52"/>
      <c r="E91" s="52"/>
      <c r="F91" s="149"/>
      <c r="G91" s="150"/>
      <c r="H91" s="52"/>
      <c r="I91" s="148"/>
      <c r="J91" s="52"/>
      <c r="K91" s="151"/>
      <c r="L91" s="52"/>
      <c r="M91" s="52"/>
      <c r="N91" s="52"/>
      <c r="O91" s="142" t="s">
        <v>250</v>
      </c>
      <c r="P91" s="143"/>
      <c r="Q91" s="143"/>
      <c r="R91" s="144"/>
      <c r="S91" s="145" t="s">
        <v>251</v>
      </c>
      <c r="T91" s="146"/>
      <c r="U91" s="147">
        <f t="shared" si="0"/>
        <v>0</v>
      </c>
      <c r="V91" s="147">
        <f t="shared" si="1"/>
        <v>0</v>
      </c>
      <c r="W91" s="152"/>
      <c r="X91" s="151"/>
      <c r="Y91" s="151"/>
      <c r="Z91" s="153"/>
      <c r="AA91" s="153"/>
      <c r="AB91" s="151"/>
      <c r="AC91" s="153"/>
      <c r="AD91" s="153"/>
      <c r="AE91" s="52"/>
    </row>
    <row r="92" spans="1:31">
      <c r="A92" s="52"/>
      <c r="B92" s="148"/>
      <c r="C92" s="52"/>
      <c r="D92" s="52"/>
      <c r="E92" s="52"/>
      <c r="F92" s="149"/>
      <c r="G92" s="150"/>
      <c r="H92" s="52"/>
      <c r="I92" s="148"/>
      <c r="J92" s="52"/>
      <c r="K92" s="151"/>
      <c r="L92" s="52"/>
      <c r="M92" s="52"/>
      <c r="N92" s="52"/>
      <c r="O92" s="142" t="s">
        <v>252</v>
      </c>
      <c r="P92" s="143"/>
      <c r="Q92" s="143"/>
      <c r="R92" s="144"/>
      <c r="S92" s="145" t="s">
        <v>253</v>
      </c>
      <c r="T92" s="146"/>
      <c r="U92" s="147">
        <f t="shared" si="0"/>
        <v>0</v>
      </c>
      <c r="V92" s="147">
        <f t="shared" si="1"/>
        <v>0</v>
      </c>
      <c r="W92" s="152"/>
      <c r="X92" s="151"/>
      <c r="Y92" s="151"/>
      <c r="Z92" s="153"/>
      <c r="AA92" s="153"/>
      <c r="AB92" s="151"/>
      <c r="AC92" s="153"/>
      <c r="AD92" s="153"/>
      <c r="AE92" s="135"/>
    </row>
    <row r="93" spans="1:31">
      <c r="A93" s="52"/>
      <c r="B93" s="148"/>
      <c r="C93" s="52"/>
      <c r="D93" s="52"/>
      <c r="E93" s="52"/>
      <c r="F93" s="149"/>
      <c r="G93" s="150"/>
      <c r="H93" s="52"/>
      <c r="I93" s="148"/>
      <c r="J93" s="52"/>
      <c r="K93" s="151"/>
      <c r="L93" s="52"/>
      <c r="M93" s="52"/>
      <c r="N93" s="52"/>
      <c r="O93" s="142" t="s">
        <v>254</v>
      </c>
      <c r="P93" s="143"/>
      <c r="Q93" s="143"/>
      <c r="R93" s="144"/>
      <c r="S93" s="145" t="s">
        <v>255</v>
      </c>
      <c r="T93" s="146"/>
      <c r="U93" s="147">
        <f t="shared" si="0"/>
        <v>0</v>
      </c>
      <c r="V93" s="147">
        <f t="shared" si="1"/>
        <v>0</v>
      </c>
      <c r="W93" s="152"/>
      <c r="X93" s="151"/>
      <c r="Y93" s="151"/>
      <c r="Z93" s="153"/>
      <c r="AA93" s="153"/>
      <c r="AB93" s="151"/>
      <c r="AC93" s="153"/>
      <c r="AD93" s="153"/>
      <c r="AE93" s="52"/>
    </row>
    <row r="94" spans="1:31">
      <c r="A94" s="52"/>
      <c r="B94" s="148"/>
      <c r="C94" s="52"/>
      <c r="D94" s="52"/>
      <c r="E94" s="52"/>
      <c r="F94" s="149"/>
      <c r="G94" s="150"/>
      <c r="H94" s="52"/>
      <c r="I94" s="148"/>
      <c r="J94" s="52"/>
      <c r="K94" s="151"/>
      <c r="L94" s="52"/>
      <c r="M94" s="52"/>
      <c r="N94" s="52"/>
      <c r="O94" s="142" t="s">
        <v>256</v>
      </c>
      <c r="P94" s="143"/>
      <c r="Q94" s="143"/>
      <c r="R94" s="144"/>
      <c r="S94" s="145" t="s">
        <v>257</v>
      </c>
      <c r="T94" s="146"/>
      <c r="U94" s="147">
        <f t="shared" si="0"/>
        <v>0</v>
      </c>
      <c r="V94" s="147">
        <f t="shared" si="1"/>
        <v>0</v>
      </c>
      <c r="W94" s="152"/>
      <c r="X94" s="151"/>
      <c r="Y94" s="151"/>
      <c r="Z94" s="153"/>
      <c r="AA94" s="153"/>
      <c r="AB94" s="151"/>
      <c r="AC94" s="153"/>
      <c r="AD94" s="153"/>
      <c r="AE94" s="52"/>
    </row>
    <row r="95" spans="1:31">
      <c r="A95" s="52"/>
      <c r="B95" s="148"/>
      <c r="C95" s="52"/>
      <c r="D95" s="52"/>
      <c r="E95" s="52"/>
      <c r="F95" s="149"/>
      <c r="G95" s="150"/>
      <c r="H95" s="52"/>
      <c r="I95" s="148"/>
      <c r="J95" s="52"/>
      <c r="K95" s="151"/>
      <c r="L95" s="52"/>
      <c r="M95" s="52"/>
      <c r="N95" s="52"/>
      <c r="O95" s="142" t="s">
        <v>258</v>
      </c>
      <c r="P95" s="143"/>
      <c r="Q95" s="143"/>
      <c r="R95" s="144"/>
      <c r="S95" s="145" t="s">
        <v>259</v>
      </c>
      <c r="T95" s="146"/>
      <c r="U95" s="147">
        <f t="shared" si="0"/>
        <v>0</v>
      </c>
      <c r="V95" s="147">
        <f t="shared" si="1"/>
        <v>0</v>
      </c>
      <c r="W95" s="152"/>
      <c r="X95" s="151"/>
      <c r="Y95" s="151"/>
      <c r="Z95" s="153"/>
      <c r="AA95" s="153"/>
      <c r="AB95" s="151"/>
      <c r="AC95" s="153"/>
      <c r="AD95" s="153"/>
      <c r="AE95" s="52"/>
    </row>
    <row r="96" spans="1:31">
      <c r="A96" s="52"/>
      <c r="B96" s="148"/>
      <c r="C96" s="52"/>
      <c r="D96" s="29"/>
      <c r="E96" s="52"/>
      <c r="F96" s="92"/>
      <c r="G96" s="94"/>
      <c r="H96" s="52"/>
      <c r="I96" s="148"/>
      <c r="J96" s="52"/>
      <c r="K96" s="151"/>
      <c r="L96" s="52"/>
      <c r="M96" s="52"/>
      <c r="N96" s="52"/>
      <c r="O96" s="142" t="s">
        <v>260</v>
      </c>
      <c r="P96" s="143"/>
      <c r="Q96" s="143"/>
      <c r="R96" s="144"/>
      <c r="S96" s="145" t="s">
        <v>261</v>
      </c>
      <c r="T96" s="146"/>
      <c r="U96" s="147">
        <f t="shared" si="0"/>
        <v>0</v>
      </c>
      <c r="V96" s="147">
        <f t="shared" si="1"/>
        <v>0</v>
      </c>
      <c r="W96" s="152"/>
      <c r="X96" s="151"/>
      <c r="Y96" s="151"/>
      <c r="Z96" s="153"/>
      <c r="AA96" s="153"/>
      <c r="AB96" s="151"/>
      <c r="AC96" s="153"/>
      <c r="AD96" s="153"/>
      <c r="AE96" s="52"/>
    </row>
    <row r="97" spans="1:31">
      <c r="A97" s="52"/>
      <c r="B97" s="136" t="s">
        <v>262</v>
      </c>
      <c r="C97" s="135" t="s">
        <v>193</v>
      </c>
      <c r="D97" s="137"/>
      <c r="E97" s="135"/>
      <c r="F97" s="138">
        <f>E97/3150</f>
        <v>0</v>
      </c>
      <c r="G97" s="91"/>
      <c r="H97" s="139" t="s">
        <v>194</v>
      </c>
      <c r="I97" s="148"/>
      <c r="J97" s="52"/>
      <c r="K97" s="151"/>
      <c r="L97" s="52"/>
      <c r="M97" s="52"/>
      <c r="N97" s="52"/>
      <c r="O97" s="142" t="s">
        <v>263</v>
      </c>
      <c r="P97" s="143"/>
      <c r="Q97" s="143"/>
      <c r="R97" s="144"/>
      <c r="S97" s="154" t="s">
        <v>264</v>
      </c>
      <c r="T97" s="146"/>
      <c r="U97" s="147">
        <f t="shared" si="0"/>
        <v>0</v>
      </c>
      <c r="V97" s="147">
        <f t="shared" si="1"/>
        <v>0</v>
      </c>
      <c r="W97" s="152"/>
      <c r="X97" s="151"/>
      <c r="Y97" s="151"/>
      <c r="Z97" s="153"/>
      <c r="AA97" s="153"/>
      <c r="AB97" s="151"/>
      <c r="AC97" s="153"/>
      <c r="AD97" s="153"/>
      <c r="AE97" s="143" t="s">
        <v>220</v>
      </c>
    </row>
    <row r="98" spans="1:31">
      <c r="A98" s="52"/>
      <c r="B98" s="148"/>
      <c r="C98" s="52"/>
      <c r="D98" s="52"/>
      <c r="E98" s="52"/>
      <c r="F98" s="149"/>
      <c r="G98" s="150"/>
      <c r="H98" s="52"/>
      <c r="I98" s="148"/>
      <c r="J98" s="52"/>
      <c r="K98" s="151"/>
      <c r="L98" s="52"/>
      <c r="M98" s="52"/>
      <c r="N98" s="52"/>
      <c r="O98" s="142" t="s">
        <v>265</v>
      </c>
      <c r="P98" s="143"/>
      <c r="Q98" s="143"/>
      <c r="R98" s="144"/>
      <c r="S98" s="154" t="s">
        <v>266</v>
      </c>
      <c r="T98" s="146"/>
      <c r="U98" s="147">
        <f t="shared" si="0"/>
        <v>0</v>
      </c>
      <c r="V98" s="147">
        <f t="shared" si="1"/>
        <v>0</v>
      </c>
      <c r="W98" s="152"/>
      <c r="X98" s="151"/>
      <c r="Y98" s="151"/>
      <c r="Z98" s="153"/>
      <c r="AA98" s="153"/>
      <c r="AB98" s="151"/>
      <c r="AC98" s="153"/>
      <c r="AD98" s="153"/>
      <c r="AE98" s="52"/>
    </row>
    <row r="99" spans="1:31">
      <c r="A99" s="52"/>
      <c r="B99" s="148"/>
      <c r="C99" s="52"/>
      <c r="D99" s="52"/>
      <c r="E99" s="52"/>
      <c r="F99" s="149"/>
      <c r="G99" s="150"/>
      <c r="H99" s="52"/>
      <c r="I99" s="148"/>
      <c r="J99" s="52"/>
      <c r="K99" s="151"/>
      <c r="L99" s="52"/>
      <c r="M99" s="52"/>
      <c r="N99" s="52"/>
      <c r="O99" s="142" t="s">
        <v>267</v>
      </c>
      <c r="P99" s="143"/>
      <c r="Q99" s="143"/>
      <c r="R99" s="144"/>
      <c r="S99" s="154" t="s">
        <v>268</v>
      </c>
      <c r="T99" s="146"/>
      <c r="U99" s="147">
        <f t="shared" si="0"/>
        <v>0</v>
      </c>
      <c r="V99" s="147">
        <f t="shared" si="1"/>
        <v>0</v>
      </c>
      <c r="W99" s="152"/>
      <c r="X99" s="151"/>
      <c r="Y99" s="151"/>
      <c r="Z99" s="153"/>
      <c r="AA99" s="153"/>
      <c r="AB99" s="151"/>
      <c r="AC99" s="153"/>
      <c r="AD99" s="153"/>
      <c r="AE99" s="52"/>
    </row>
    <row r="100" spans="1:31">
      <c r="A100" s="52"/>
      <c r="B100" s="148"/>
      <c r="C100" s="52"/>
      <c r="D100" s="52"/>
      <c r="E100" s="52"/>
      <c r="F100" s="149"/>
      <c r="G100" s="150"/>
      <c r="H100" s="52"/>
      <c r="I100" s="148"/>
      <c r="J100" s="52"/>
      <c r="K100" s="151"/>
      <c r="L100" s="52"/>
      <c r="M100" s="52"/>
      <c r="N100" s="52"/>
      <c r="O100" s="142" t="s">
        <v>269</v>
      </c>
      <c r="P100" s="143"/>
      <c r="Q100" s="143"/>
      <c r="R100" s="144"/>
      <c r="S100" s="154" t="s">
        <v>270</v>
      </c>
      <c r="T100" s="146"/>
      <c r="U100" s="147">
        <f t="shared" ref="U100:U131" si="2">R100*0.935</f>
        <v>0</v>
      </c>
      <c r="V100" s="147">
        <f t="shared" ref="V100:V131" si="3">U100/215</f>
        <v>0</v>
      </c>
      <c r="W100" s="152"/>
      <c r="X100" s="151"/>
      <c r="Y100" s="151"/>
      <c r="Z100" s="153"/>
      <c r="AA100" s="153"/>
      <c r="AB100" s="151"/>
      <c r="AC100" s="153"/>
      <c r="AD100" s="153"/>
      <c r="AE100" s="52"/>
    </row>
    <row r="101" spans="1:31">
      <c r="A101" s="52"/>
      <c r="B101" s="148"/>
      <c r="C101" s="52"/>
      <c r="D101" s="52"/>
      <c r="E101" s="52"/>
      <c r="F101" s="149"/>
      <c r="G101" s="150"/>
      <c r="H101" s="52"/>
      <c r="I101" s="148"/>
      <c r="J101" s="52"/>
      <c r="K101" s="151"/>
      <c r="L101" s="52"/>
      <c r="M101" s="52"/>
      <c r="N101" s="52"/>
      <c r="O101" s="142" t="s">
        <v>271</v>
      </c>
      <c r="P101" s="143"/>
      <c r="Q101" s="143"/>
      <c r="R101" s="144"/>
      <c r="S101" s="154" t="s">
        <v>272</v>
      </c>
      <c r="T101" s="146"/>
      <c r="U101" s="147">
        <f t="shared" si="2"/>
        <v>0</v>
      </c>
      <c r="V101" s="147">
        <f t="shared" si="3"/>
        <v>0</v>
      </c>
      <c r="W101" s="152"/>
      <c r="X101" s="151"/>
      <c r="Y101" s="151"/>
      <c r="Z101" s="153"/>
      <c r="AA101" s="153"/>
      <c r="AB101" s="151"/>
      <c r="AC101" s="153"/>
      <c r="AD101" s="153"/>
      <c r="AE101" s="29"/>
    </row>
    <row r="102" spans="1:31">
      <c r="A102" s="52"/>
      <c r="B102" s="148"/>
      <c r="C102" s="52"/>
      <c r="D102" s="52"/>
      <c r="E102" s="52"/>
      <c r="F102" s="149"/>
      <c r="G102" s="150"/>
      <c r="H102" s="52"/>
      <c r="I102" s="148"/>
      <c r="J102" s="52"/>
      <c r="K102" s="151"/>
      <c r="L102" s="52"/>
      <c r="M102" s="52"/>
      <c r="N102" s="52"/>
      <c r="O102" s="142" t="s">
        <v>273</v>
      </c>
      <c r="P102" s="143"/>
      <c r="Q102" s="143"/>
      <c r="R102" s="144"/>
      <c r="S102" s="154" t="s">
        <v>274</v>
      </c>
      <c r="T102" s="146"/>
      <c r="U102" s="147">
        <f t="shared" si="2"/>
        <v>0</v>
      </c>
      <c r="V102" s="147">
        <f t="shared" si="3"/>
        <v>0</v>
      </c>
      <c r="W102" s="152"/>
      <c r="X102" s="151"/>
      <c r="Y102" s="151"/>
      <c r="Z102" s="153"/>
      <c r="AA102" s="153"/>
      <c r="AB102" s="151"/>
      <c r="AC102" s="153"/>
      <c r="AD102" s="153"/>
      <c r="AE102" s="135"/>
    </row>
    <row r="103" spans="1:31">
      <c r="A103" s="52"/>
      <c r="B103" s="148"/>
      <c r="C103" s="52"/>
      <c r="D103" s="52"/>
      <c r="E103" s="52"/>
      <c r="F103" s="149"/>
      <c r="G103" s="150"/>
      <c r="H103" s="52"/>
      <c r="I103" s="148"/>
      <c r="J103" s="52"/>
      <c r="K103" s="151"/>
      <c r="L103" s="52"/>
      <c r="M103" s="52"/>
      <c r="N103" s="52"/>
      <c r="O103" s="142" t="s">
        <v>275</v>
      </c>
      <c r="P103" s="143"/>
      <c r="Q103" s="143"/>
      <c r="R103" s="144"/>
      <c r="S103" s="154" t="s">
        <v>276</v>
      </c>
      <c r="T103" s="146"/>
      <c r="U103" s="147">
        <f t="shared" si="2"/>
        <v>0</v>
      </c>
      <c r="V103" s="147">
        <f t="shared" si="3"/>
        <v>0</v>
      </c>
      <c r="W103" s="152"/>
      <c r="X103" s="151"/>
      <c r="Y103" s="151"/>
      <c r="Z103" s="153"/>
      <c r="AA103" s="153"/>
      <c r="AB103" s="151"/>
      <c r="AC103" s="153"/>
      <c r="AD103" s="153"/>
      <c r="AE103" s="52"/>
    </row>
    <row r="104" spans="1:31">
      <c r="A104" s="52"/>
      <c r="B104" s="148"/>
      <c r="C104" s="52"/>
      <c r="D104" s="52"/>
      <c r="E104" s="52"/>
      <c r="F104" s="149"/>
      <c r="G104" s="150"/>
      <c r="H104" s="52"/>
      <c r="I104" s="148"/>
      <c r="J104" s="52"/>
      <c r="K104" s="151"/>
      <c r="L104" s="52"/>
      <c r="M104" s="52"/>
      <c r="N104" s="52"/>
      <c r="O104" s="142" t="s">
        <v>277</v>
      </c>
      <c r="P104" s="143"/>
      <c r="Q104" s="143"/>
      <c r="R104" s="144"/>
      <c r="S104" s="154" t="s">
        <v>278</v>
      </c>
      <c r="T104" s="146"/>
      <c r="U104" s="147">
        <f t="shared" si="2"/>
        <v>0</v>
      </c>
      <c r="V104" s="147">
        <f t="shared" si="3"/>
        <v>0</v>
      </c>
      <c r="W104" s="152"/>
      <c r="X104" s="151"/>
      <c r="Y104" s="151"/>
      <c r="Z104" s="153"/>
      <c r="AA104" s="153"/>
      <c r="AB104" s="151"/>
      <c r="AC104" s="153"/>
      <c r="AD104" s="153"/>
      <c r="AE104" s="52"/>
    </row>
    <row r="105" spans="1:31">
      <c r="A105" s="52"/>
      <c r="B105" s="148"/>
      <c r="C105" s="52"/>
      <c r="D105" s="52"/>
      <c r="E105" s="52"/>
      <c r="F105" s="149"/>
      <c r="G105" s="150"/>
      <c r="H105" s="52"/>
      <c r="I105" s="148"/>
      <c r="J105" s="52"/>
      <c r="K105" s="151"/>
      <c r="L105" s="52"/>
      <c r="M105" s="52"/>
      <c r="N105" s="52"/>
      <c r="O105" s="142" t="s">
        <v>279</v>
      </c>
      <c r="P105" s="143"/>
      <c r="Q105" s="143"/>
      <c r="R105" s="144"/>
      <c r="S105" s="154" t="s">
        <v>280</v>
      </c>
      <c r="T105" s="146"/>
      <c r="U105" s="147">
        <f t="shared" si="2"/>
        <v>0</v>
      </c>
      <c r="V105" s="147">
        <f t="shared" si="3"/>
        <v>0</v>
      </c>
      <c r="W105" s="152"/>
      <c r="X105" s="151"/>
      <c r="Y105" s="151"/>
      <c r="Z105" s="153"/>
      <c r="AA105" s="153"/>
      <c r="AB105" s="151"/>
      <c r="AC105" s="153"/>
      <c r="AD105" s="153"/>
      <c r="AE105" s="52"/>
    </row>
    <row r="106" spans="1:31">
      <c r="A106" s="52"/>
      <c r="B106" s="148"/>
      <c r="C106" s="52"/>
      <c r="D106" s="29"/>
      <c r="E106" s="52"/>
      <c r="F106" s="92"/>
      <c r="G106" s="94"/>
      <c r="H106" s="52"/>
      <c r="I106" s="148"/>
      <c r="J106" s="52"/>
      <c r="K106" s="151"/>
      <c r="L106" s="52"/>
      <c r="M106" s="52"/>
      <c r="N106" s="52"/>
      <c r="O106" s="142" t="s">
        <v>281</v>
      </c>
      <c r="P106" s="143"/>
      <c r="Q106" s="143"/>
      <c r="R106" s="144"/>
      <c r="S106" s="154" t="s">
        <v>282</v>
      </c>
      <c r="T106" s="146"/>
      <c r="U106" s="147">
        <f t="shared" si="2"/>
        <v>0</v>
      </c>
      <c r="V106" s="147">
        <f t="shared" si="3"/>
        <v>0</v>
      </c>
      <c r="W106" s="152"/>
      <c r="X106" s="151"/>
      <c r="Y106" s="151"/>
      <c r="Z106" s="153"/>
      <c r="AA106" s="153"/>
      <c r="AB106" s="151"/>
      <c r="AC106" s="153"/>
      <c r="AD106" s="153"/>
      <c r="AE106" s="52"/>
    </row>
    <row r="107" spans="1:31">
      <c r="A107" s="135" t="s">
        <v>283</v>
      </c>
      <c r="B107" s="156" t="s">
        <v>284</v>
      </c>
      <c r="C107" s="143" t="s">
        <v>193</v>
      </c>
      <c r="D107" s="137"/>
      <c r="E107" s="135"/>
      <c r="F107" s="138">
        <f>E107/3150</f>
        <v>0</v>
      </c>
      <c r="G107" s="91"/>
      <c r="H107" s="117" t="s">
        <v>194</v>
      </c>
      <c r="I107" s="140" t="s">
        <v>285</v>
      </c>
      <c r="J107" s="135"/>
      <c r="K107" s="141">
        <f>J107/300</f>
        <v>0</v>
      </c>
      <c r="L107" s="135" t="s">
        <v>193</v>
      </c>
      <c r="M107" s="135"/>
      <c r="N107" s="135"/>
      <c r="O107" s="142" t="s">
        <v>286</v>
      </c>
      <c r="P107" s="143"/>
      <c r="Q107" s="143"/>
      <c r="R107" s="144"/>
      <c r="S107" s="145" t="s">
        <v>287</v>
      </c>
      <c r="T107" s="146"/>
      <c r="U107" s="147">
        <f t="shared" si="2"/>
        <v>0</v>
      </c>
      <c r="V107" s="147">
        <f t="shared" si="3"/>
        <v>0</v>
      </c>
      <c r="W107" s="139">
        <v>302</v>
      </c>
      <c r="X107" s="141">
        <f>SUM(U107:U126)</f>
        <v>0</v>
      </c>
      <c r="Y107" s="141">
        <f>X107/2350</f>
        <v>0</v>
      </c>
      <c r="Z107" s="135">
        <v>154</v>
      </c>
      <c r="AA107" s="135">
        <v>9</v>
      </c>
      <c r="AB107" s="141">
        <f>AA107/Z107</f>
        <v>0.0584415584415584</v>
      </c>
      <c r="AC107" s="135">
        <v>20</v>
      </c>
      <c r="AD107" s="135">
        <v>0</v>
      </c>
      <c r="AE107" s="135" t="s">
        <v>198</v>
      </c>
    </row>
    <row r="108" spans="1:31">
      <c r="A108" s="52"/>
      <c r="B108" s="148"/>
      <c r="C108" s="52"/>
      <c r="D108" s="52"/>
      <c r="E108" s="52"/>
      <c r="F108" s="149"/>
      <c r="G108" s="150"/>
      <c r="H108" s="52"/>
      <c r="I108" s="148"/>
      <c r="J108" s="52"/>
      <c r="K108" s="151"/>
      <c r="L108" s="52"/>
      <c r="M108" s="52"/>
      <c r="N108" s="52"/>
      <c r="O108" s="142" t="s">
        <v>288</v>
      </c>
      <c r="P108" s="143"/>
      <c r="Q108" s="143"/>
      <c r="R108" s="144"/>
      <c r="S108" s="145" t="s">
        <v>289</v>
      </c>
      <c r="T108" s="146"/>
      <c r="U108" s="147">
        <f t="shared" si="2"/>
        <v>0</v>
      </c>
      <c r="V108" s="147">
        <f t="shared" si="3"/>
        <v>0</v>
      </c>
      <c r="W108" s="152"/>
      <c r="X108" s="151"/>
      <c r="Y108" s="151"/>
      <c r="Z108" s="153"/>
      <c r="AA108" s="153"/>
      <c r="AB108" s="151"/>
      <c r="AC108" s="153"/>
      <c r="AD108" s="153"/>
      <c r="AE108" s="52"/>
    </row>
    <row r="109" spans="1:31">
      <c r="A109" s="52"/>
      <c r="B109" s="148"/>
      <c r="C109" s="52"/>
      <c r="D109" s="52"/>
      <c r="E109" s="52"/>
      <c r="F109" s="149"/>
      <c r="G109" s="150"/>
      <c r="H109" s="52"/>
      <c r="I109" s="148"/>
      <c r="J109" s="52"/>
      <c r="K109" s="151"/>
      <c r="L109" s="52"/>
      <c r="M109" s="52"/>
      <c r="N109" s="52"/>
      <c r="O109" s="142" t="s">
        <v>290</v>
      </c>
      <c r="P109" s="143"/>
      <c r="Q109" s="143"/>
      <c r="R109" s="144"/>
      <c r="S109" s="145" t="s">
        <v>291</v>
      </c>
      <c r="T109" s="146"/>
      <c r="U109" s="147">
        <f t="shared" si="2"/>
        <v>0</v>
      </c>
      <c r="V109" s="147">
        <f t="shared" si="3"/>
        <v>0</v>
      </c>
      <c r="W109" s="152"/>
      <c r="X109" s="151"/>
      <c r="Y109" s="151"/>
      <c r="Z109" s="153"/>
      <c r="AA109" s="153"/>
      <c r="AB109" s="151"/>
      <c r="AC109" s="153"/>
      <c r="AD109" s="153"/>
      <c r="AE109" s="52"/>
    </row>
    <row r="110" spans="1:31">
      <c r="A110" s="52"/>
      <c r="B110" s="148"/>
      <c r="C110" s="52"/>
      <c r="D110" s="52"/>
      <c r="E110" s="52"/>
      <c r="F110" s="149"/>
      <c r="G110" s="150"/>
      <c r="H110" s="52"/>
      <c r="I110" s="148"/>
      <c r="J110" s="52"/>
      <c r="K110" s="151"/>
      <c r="L110" s="52"/>
      <c r="M110" s="52"/>
      <c r="N110" s="52"/>
      <c r="O110" s="142" t="s">
        <v>292</v>
      </c>
      <c r="P110" s="143"/>
      <c r="Q110" s="143"/>
      <c r="R110" s="144"/>
      <c r="S110" s="145" t="s">
        <v>293</v>
      </c>
      <c r="T110" s="146"/>
      <c r="U110" s="147">
        <f t="shared" si="2"/>
        <v>0</v>
      </c>
      <c r="V110" s="147">
        <f t="shared" si="3"/>
        <v>0</v>
      </c>
      <c r="W110" s="152"/>
      <c r="X110" s="151"/>
      <c r="Y110" s="151"/>
      <c r="Z110" s="153"/>
      <c r="AA110" s="153"/>
      <c r="AB110" s="151"/>
      <c r="AC110" s="153"/>
      <c r="AD110" s="153"/>
      <c r="AE110" s="52"/>
    </row>
    <row r="111" spans="1:31">
      <c r="A111" s="52"/>
      <c r="B111" s="148"/>
      <c r="C111" s="52"/>
      <c r="D111" s="52"/>
      <c r="E111" s="52"/>
      <c r="F111" s="149"/>
      <c r="G111" s="150"/>
      <c r="H111" s="52"/>
      <c r="I111" s="148"/>
      <c r="J111" s="52"/>
      <c r="K111" s="151"/>
      <c r="L111" s="52"/>
      <c r="M111" s="52"/>
      <c r="N111" s="52"/>
      <c r="O111" s="142" t="s">
        <v>294</v>
      </c>
      <c r="P111" s="143"/>
      <c r="Q111" s="143"/>
      <c r="R111" s="144"/>
      <c r="S111" s="145" t="s">
        <v>295</v>
      </c>
      <c r="T111" s="146"/>
      <c r="U111" s="147">
        <f t="shared" si="2"/>
        <v>0</v>
      </c>
      <c r="V111" s="147">
        <f t="shared" si="3"/>
        <v>0</v>
      </c>
      <c r="W111" s="152"/>
      <c r="X111" s="151"/>
      <c r="Y111" s="151"/>
      <c r="Z111" s="153"/>
      <c r="AA111" s="153"/>
      <c r="AB111" s="151"/>
      <c r="AC111" s="153"/>
      <c r="AD111" s="153"/>
      <c r="AE111" s="52"/>
    </row>
    <row r="112" spans="1:31">
      <c r="A112" s="52"/>
      <c r="B112" s="148"/>
      <c r="C112" s="52"/>
      <c r="D112" s="52"/>
      <c r="E112" s="52"/>
      <c r="F112" s="149"/>
      <c r="G112" s="150"/>
      <c r="H112" s="52"/>
      <c r="I112" s="148"/>
      <c r="J112" s="52"/>
      <c r="K112" s="151"/>
      <c r="L112" s="52"/>
      <c r="M112" s="52"/>
      <c r="N112" s="52"/>
      <c r="O112" s="142" t="s">
        <v>296</v>
      </c>
      <c r="P112" s="143"/>
      <c r="Q112" s="143"/>
      <c r="R112" s="144"/>
      <c r="S112" s="145" t="s">
        <v>297</v>
      </c>
      <c r="T112" s="146"/>
      <c r="U112" s="147">
        <f t="shared" si="2"/>
        <v>0</v>
      </c>
      <c r="V112" s="147">
        <f t="shared" si="3"/>
        <v>0</v>
      </c>
      <c r="W112" s="152"/>
      <c r="X112" s="151"/>
      <c r="Y112" s="151"/>
      <c r="Z112" s="153"/>
      <c r="AA112" s="153"/>
      <c r="AB112" s="151"/>
      <c r="AC112" s="153"/>
      <c r="AD112" s="153"/>
      <c r="AE112" s="135"/>
    </row>
    <row r="113" spans="1:31">
      <c r="A113" s="52"/>
      <c r="B113" s="148"/>
      <c r="C113" s="52"/>
      <c r="D113" s="52"/>
      <c r="E113" s="52"/>
      <c r="F113" s="149"/>
      <c r="G113" s="150"/>
      <c r="H113" s="52"/>
      <c r="I113" s="148"/>
      <c r="J113" s="52"/>
      <c r="K113" s="151"/>
      <c r="L113" s="52"/>
      <c r="M113" s="52"/>
      <c r="N113" s="52"/>
      <c r="O113" s="142" t="s">
        <v>298</v>
      </c>
      <c r="P113" s="143"/>
      <c r="Q113" s="143"/>
      <c r="R113" s="144"/>
      <c r="S113" s="145" t="s">
        <v>299</v>
      </c>
      <c r="T113" s="146"/>
      <c r="U113" s="147">
        <f t="shared" si="2"/>
        <v>0</v>
      </c>
      <c r="V113" s="147">
        <f t="shared" si="3"/>
        <v>0</v>
      </c>
      <c r="W113" s="152"/>
      <c r="X113" s="151"/>
      <c r="Y113" s="151"/>
      <c r="Z113" s="153"/>
      <c r="AA113" s="153"/>
      <c r="AB113" s="151"/>
      <c r="AC113" s="153"/>
      <c r="AD113" s="153"/>
      <c r="AE113" s="52"/>
    </row>
    <row r="114" spans="1:31">
      <c r="A114" s="52"/>
      <c r="B114" s="148"/>
      <c r="C114" s="52"/>
      <c r="D114" s="52"/>
      <c r="E114" s="52"/>
      <c r="F114" s="149"/>
      <c r="G114" s="150"/>
      <c r="H114" s="52"/>
      <c r="I114" s="148"/>
      <c r="J114" s="52"/>
      <c r="K114" s="151"/>
      <c r="L114" s="52"/>
      <c r="M114" s="52"/>
      <c r="N114" s="52"/>
      <c r="O114" s="142" t="s">
        <v>300</v>
      </c>
      <c r="P114" s="143"/>
      <c r="Q114" s="143"/>
      <c r="R114" s="144"/>
      <c r="S114" s="145" t="s">
        <v>301</v>
      </c>
      <c r="T114" s="146"/>
      <c r="U114" s="147">
        <f t="shared" si="2"/>
        <v>0</v>
      </c>
      <c r="V114" s="147">
        <f t="shared" si="3"/>
        <v>0</v>
      </c>
      <c r="W114" s="152"/>
      <c r="X114" s="151"/>
      <c r="Y114" s="151"/>
      <c r="Z114" s="153"/>
      <c r="AA114" s="153"/>
      <c r="AB114" s="151"/>
      <c r="AC114" s="153"/>
      <c r="AD114" s="153"/>
      <c r="AE114" s="52"/>
    </row>
    <row r="115" spans="1:31">
      <c r="A115" s="52"/>
      <c r="B115" s="148"/>
      <c r="C115" s="52"/>
      <c r="D115" s="52"/>
      <c r="E115" s="52"/>
      <c r="F115" s="149"/>
      <c r="G115" s="150"/>
      <c r="H115" s="52"/>
      <c r="I115" s="148"/>
      <c r="J115" s="52"/>
      <c r="K115" s="151"/>
      <c r="L115" s="52"/>
      <c r="M115" s="52"/>
      <c r="N115" s="52"/>
      <c r="O115" s="142" t="s">
        <v>302</v>
      </c>
      <c r="P115" s="143"/>
      <c r="Q115" s="143"/>
      <c r="R115" s="144"/>
      <c r="S115" s="145" t="s">
        <v>303</v>
      </c>
      <c r="T115" s="146"/>
      <c r="U115" s="147">
        <f t="shared" si="2"/>
        <v>0</v>
      </c>
      <c r="V115" s="147">
        <f t="shared" si="3"/>
        <v>0</v>
      </c>
      <c r="W115" s="152"/>
      <c r="X115" s="151"/>
      <c r="Y115" s="151"/>
      <c r="Z115" s="153"/>
      <c r="AA115" s="153"/>
      <c r="AB115" s="151"/>
      <c r="AC115" s="153"/>
      <c r="AD115" s="153"/>
      <c r="AE115" s="52"/>
    </row>
    <row r="116" spans="1:31">
      <c r="A116" s="52"/>
      <c r="B116" s="157"/>
      <c r="C116" s="29"/>
      <c r="D116" s="29"/>
      <c r="E116" s="52"/>
      <c r="F116" s="92"/>
      <c r="G116" s="94"/>
      <c r="H116" s="29"/>
      <c r="I116" s="148"/>
      <c r="J116" s="52"/>
      <c r="K116" s="151"/>
      <c r="L116" s="52"/>
      <c r="M116" s="52"/>
      <c r="N116" s="52"/>
      <c r="O116" s="142" t="s">
        <v>304</v>
      </c>
      <c r="P116" s="143"/>
      <c r="Q116" s="143"/>
      <c r="R116" s="144"/>
      <c r="S116" s="145" t="s">
        <v>305</v>
      </c>
      <c r="T116" s="146"/>
      <c r="U116" s="147">
        <f t="shared" si="2"/>
        <v>0</v>
      </c>
      <c r="V116" s="147">
        <f t="shared" si="3"/>
        <v>0</v>
      </c>
      <c r="W116" s="152"/>
      <c r="X116" s="151"/>
      <c r="Y116" s="151"/>
      <c r="Z116" s="153"/>
      <c r="AA116" s="153"/>
      <c r="AB116" s="151"/>
      <c r="AC116" s="153"/>
      <c r="AD116" s="153"/>
      <c r="AE116" s="52"/>
    </row>
    <row r="117" spans="1:31">
      <c r="A117" s="52"/>
      <c r="B117" s="156" t="s">
        <v>306</v>
      </c>
      <c r="C117" s="143" t="s">
        <v>193</v>
      </c>
      <c r="D117" s="137"/>
      <c r="E117" s="135"/>
      <c r="F117" s="138">
        <f>E117/3150</f>
        <v>0</v>
      </c>
      <c r="G117" s="91"/>
      <c r="H117" s="117" t="s">
        <v>194</v>
      </c>
      <c r="I117" s="148"/>
      <c r="J117" s="52"/>
      <c r="K117" s="151"/>
      <c r="L117" s="52"/>
      <c r="M117" s="52"/>
      <c r="N117" s="52"/>
      <c r="O117" s="142" t="s">
        <v>307</v>
      </c>
      <c r="P117" s="143"/>
      <c r="Q117" s="143"/>
      <c r="R117" s="144"/>
      <c r="S117" s="154" t="s">
        <v>308</v>
      </c>
      <c r="T117" s="146"/>
      <c r="U117" s="147">
        <f t="shared" si="2"/>
        <v>0</v>
      </c>
      <c r="V117" s="147">
        <f t="shared" si="3"/>
        <v>0</v>
      </c>
      <c r="W117" s="152"/>
      <c r="X117" s="151"/>
      <c r="Y117" s="151"/>
      <c r="Z117" s="153"/>
      <c r="AA117" s="153"/>
      <c r="AB117" s="151"/>
      <c r="AC117" s="153"/>
      <c r="AD117" s="153"/>
      <c r="AE117" s="143" t="s">
        <v>220</v>
      </c>
    </row>
    <row r="118" spans="1:31">
      <c r="A118" s="52"/>
      <c r="B118" s="148"/>
      <c r="C118" s="52"/>
      <c r="D118" s="52"/>
      <c r="E118" s="52"/>
      <c r="F118" s="149"/>
      <c r="G118" s="150"/>
      <c r="H118" s="52"/>
      <c r="I118" s="148"/>
      <c r="J118" s="52"/>
      <c r="K118" s="151"/>
      <c r="L118" s="52"/>
      <c r="M118" s="52"/>
      <c r="N118" s="52"/>
      <c r="O118" s="142" t="s">
        <v>309</v>
      </c>
      <c r="P118" s="143"/>
      <c r="Q118" s="143"/>
      <c r="R118" s="144"/>
      <c r="S118" s="154" t="s">
        <v>310</v>
      </c>
      <c r="T118" s="146"/>
      <c r="U118" s="147">
        <f t="shared" si="2"/>
        <v>0</v>
      </c>
      <c r="V118" s="147">
        <f t="shared" si="3"/>
        <v>0</v>
      </c>
      <c r="W118" s="152"/>
      <c r="X118" s="151"/>
      <c r="Y118" s="151"/>
      <c r="Z118" s="153"/>
      <c r="AA118" s="153"/>
      <c r="AB118" s="151"/>
      <c r="AC118" s="153"/>
      <c r="AD118" s="153"/>
      <c r="AE118" s="52"/>
    </row>
    <row r="119" spans="1:31">
      <c r="A119" s="52"/>
      <c r="B119" s="148"/>
      <c r="C119" s="52"/>
      <c r="D119" s="52"/>
      <c r="E119" s="52"/>
      <c r="F119" s="149"/>
      <c r="G119" s="150"/>
      <c r="H119" s="52"/>
      <c r="I119" s="148"/>
      <c r="J119" s="52"/>
      <c r="K119" s="151"/>
      <c r="L119" s="52"/>
      <c r="M119" s="52"/>
      <c r="N119" s="52"/>
      <c r="O119" s="142" t="s">
        <v>311</v>
      </c>
      <c r="P119" s="143"/>
      <c r="Q119" s="143"/>
      <c r="R119" s="144"/>
      <c r="S119" s="154" t="s">
        <v>312</v>
      </c>
      <c r="T119" s="146"/>
      <c r="U119" s="147">
        <f t="shared" si="2"/>
        <v>0</v>
      </c>
      <c r="V119" s="147">
        <f t="shared" si="3"/>
        <v>0</v>
      </c>
      <c r="W119" s="152"/>
      <c r="X119" s="151"/>
      <c r="Y119" s="151"/>
      <c r="Z119" s="153"/>
      <c r="AA119" s="153"/>
      <c r="AB119" s="151"/>
      <c r="AC119" s="153"/>
      <c r="AD119" s="153"/>
      <c r="AE119" s="52"/>
    </row>
    <row r="120" spans="1:31">
      <c r="A120" s="52"/>
      <c r="B120" s="148"/>
      <c r="C120" s="52"/>
      <c r="D120" s="52"/>
      <c r="E120" s="52"/>
      <c r="F120" s="149"/>
      <c r="G120" s="150"/>
      <c r="H120" s="52"/>
      <c r="I120" s="148"/>
      <c r="J120" s="52"/>
      <c r="K120" s="151"/>
      <c r="L120" s="52"/>
      <c r="M120" s="52"/>
      <c r="N120" s="52"/>
      <c r="O120" s="142" t="s">
        <v>313</v>
      </c>
      <c r="P120" s="143"/>
      <c r="Q120" s="143"/>
      <c r="R120" s="144"/>
      <c r="S120" s="154" t="s">
        <v>314</v>
      </c>
      <c r="T120" s="146"/>
      <c r="U120" s="147">
        <f t="shared" si="2"/>
        <v>0</v>
      </c>
      <c r="V120" s="147">
        <f t="shared" si="3"/>
        <v>0</v>
      </c>
      <c r="W120" s="152"/>
      <c r="X120" s="151"/>
      <c r="Y120" s="151"/>
      <c r="Z120" s="153"/>
      <c r="AA120" s="153"/>
      <c r="AB120" s="151"/>
      <c r="AC120" s="153"/>
      <c r="AD120" s="153"/>
      <c r="AE120" s="52"/>
    </row>
    <row r="121" spans="1:31">
      <c r="A121" s="52"/>
      <c r="B121" s="148"/>
      <c r="C121" s="52"/>
      <c r="D121" s="52"/>
      <c r="E121" s="52"/>
      <c r="F121" s="149"/>
      <c r="G121" s="150"/>
      <c r="H121" s="52"/>
      <c r="I121" s="148"/>
      <c r="J121" s="52"/>
      <c r="K121" s="151"/>
      <c r="L121" s="52"/>
      <c r="M121" s="52"/>
      <c r="N121" s="52"/>
      <c r="O121" s="142" t="s">
        <v>315</v>
      </c>
      <c r="P121" s="143"/>
      <c r="Q121" s="143"/>
      <c r="R121" s="144"/>
      <c r="S121" s="154" t="s">
        <v>316</v>
      </c>
      <c r="T121" s="146"/>
      <c r="U121" s="147">
        <f t="shared" si="2"/>
        <v>0</v>
      </c>
      <c r="V121" s="147">
        <f t="shared" si="3"/>
        <v>0</v>
      </c>
      <c r="W121" s="152"/>
      <c r="X121" s="151"/>
      <c r="Y121" s="151"/>
      <c r="Z121" s="153"/>
      <c r="AA121" s="153"/>
      <c r="AB121" s="151"/>
      <c r="AC121" s="153"/>
      <c r="AD121" s="153"/>
      <c r="AE121" s="29"/>
    </row>
    <row r="122" spans="1:31">
      <c r="A122" s="52"/>
      <c r="B122" s="148"/>
      <c r="C122" s="52"/>
      <c r="D122" s="52"/>
      <c r="E122" s="52"/>
      <c r="F122" s="149"/>
      <c r="G122" s="150"/>
      <c r="H122" s="52"/>
      <c r="I122" s="148"/>
      <c r="J122" s="52"/>
      <c r="K122" s="151"/>
      <c r="L122" s="52"/>
      <c r="M122" s="52"/>
      <c r="N122" s="52"/>
      <c r="O122" s="142" t="s">
        <v>317</v>
      </c>
      <c r="P122" s="143"/>
      <c r="Q122" s="143"/>
      <c r="R122" s="144"/>
      <c r="S122" s="154" t="s">
        <v>318</v>
      </c>
      <c r="T122" s="146"/>
      <c r="U122" s="147">
        <f t="shared" si="2"/>
        <v>0</v>
      </c>
      <c r="V122" s="147">
        <f t="shared" si="3"/>
        <v>0</v>
      </c>
      <c r="W122" s="152"/>
      <c r="X122" s="151"/>
      <c r="Y122" s="151"/>
      <c r="Z122" s="153"/>
      <c r="AA122" s="153"/>
      <c r="AB122" s="151"/>
      <c r="AC122" s="153"/>
      <c r="AD122" s="153"/>
      <c r="AE122" s="135"/>
    </row>
    <row r="123" spans="1:31">
      <c r="A123" s="52"/>
      <c r="B123" s="148"/>
      <c r="C123" s="52"/>
      <c r="D123" s="52"/>
      <c r="E123" s="52"/>
      <c r="F123" s="149"/>
      <c r="G123" s="150"/>
      <c r="H123" s="52"/>
      <c r="I123" s="148"/>
      <c r="J123" s="52"/>
      <c r="K123" s="151"/>
      <c r="L123" s="52"/>
      <c r="M123" s="52"/>
      <c r="N123" s="52"/>
      <c r="O123" s="142" t="s">
        <v>319</v>
      </c>
      <c r="P123" s="143"/>
      <c r="Q123" s="143"/>
      <c r="R123" s="144"/>
      <c r="S123" s="154" t="s">
        <v>320</v>
      </c>
      <c r="T123" s="146"/>
      <c r="U123" s="147">
        <f t="shared" si="2"/>
        <v>0</v>
      </c>
      <c r="V123" s="147">
        <f t="shared" si="3"/>
        <v>0</v>
      </c>
      <c r="W123" s="152"/>
      <c r="X123" s="151"/>
      <c r="Y123" s="151"/>
      <c r="Z123" s="153"/>
      <c r="AA123" s="153"/>
      <c r="AB123" s="151"/>
      <c r="AC123" s="153"/>
      <c r="AD123" s="153"/>
      <c r="AE123" s="52"/>
    </row>
    <row r="124" spans="1:31">
      <c r="A124" s="52"/>
      <c r="B124" s="148"/>
      <c r="C124" s="52"/>
      <c r="D124" s="52"/>
      <c r="E124" s="52"/>
      <c r="F124" s="149"/>
      <c r="G124" s="150"/>
      <c r="H124" s="52"/>
      <c r="I124" s="148"/>
      <c r="J124" s="52"/>
      <c r="K124" s="151"/>
      <c r="L124" s="52"/>
      <c r="M124" s="52"/>
      <c r="N124" s="52"/>
      <c r="O124" s="142" t="s">
        <v>321</v>
      </c>
      <c r="P124" s="143"/>
      <c r="Q124" s="143"/>
      <c r="R124" s="144"/>
      <c r="S124" s="154" t="s">
        <v>322</v>
      </c>
      <c r="T124" s="146"/>
      <c r="U124" s="147">
        <f t="shared" si="2"/>
        <v>0</v>
      </c>
      <c r="V124" s="147">
        <f t="shared" si="3"/>
        <v>0</v>
      </c>
      <c r="W124" s="152"/>
      <c r="X124" s="151"/>
      <c r="Y124" s="151"/>
      <c r="Z124" s="153"/>
      <c r="AA124" s="153"/>
      <c r="AB124" s="151"/>
      <c r="AC124" s="153"/>
      <c r="AD124" s="153"/>
      <c r="AE124" s="52"/>
    </row>
    <row r="125" spans="1:31">
      <c r="A125" s="52"/>
      <c r="B125" s="148"/>
      <c r="C125" s="52"/>
      <c r="D125" s="52"/>
      <c r="E125" s="52"/>
      <c r="F125" s="149"/>
      <c r="G125" s="150"/>
      <c r="H125" s="52"/>
      <c r="I125" s="148"/>
      <c r="J125" s="52"/>
      <c r="K125" s="151"/>
      <c r="L125" s="52"/>
      <c r="M125" s="52"/>
      <c r="N125" s="52"/>
      <c r="O125" s="142" t="s">
        <v>323</v>
      </c>
      <c r="P125" s="143"/>
      <c r="Q125" s="143"/>
      <c r="R125" s="144"/>
      <c r="S125" s="154" t="s">
        <v>324</v>
      </c>
      <c r="T125" s="146"/>
      <c r="U125" s="147">
        <f t="shared" si="2"/>
        <v>0</v>
      </c>
      <c r="V125" s="147">
        <f t="shared" si="3"/>
        <v>0</v>
      </c>
      <c r="W125" s="152"/>
      <c r="X125" s="151"/>
      <c r="Y125" s="151"/>
      <c r="Z125" s="153"/>
      <c r="AA125" s="153"/>
      <c r="AB125" s="151"/>
      <c r="AC125" s="153"/>
      <c r="AD125" s="153"/>
      <c r="AE125" s="52"/>
    </row>
    <row r="126" spans="1:31">
      <c r="A126" s="52"/>
      <c r="B126" s="157"/>
      <c r="C126" s="29"/>
      <c r="D126" s="29"/>
      <c r="E126" s="52"/>
      <c r="F126" s="92"/>
      <c r="G126" s="94"/>
      <c r="H126" s="29"/>
      <c r="I126" s="148"/>
      <c r="J126" s="52"/>
      <c r="K126" s="151"/>
      <c r="L126" s="52"/>
      <c r="M126" s="52"/>
      <c r="N126" s="52"/>
      <c r="O126" s="142" t="s">
        <v>325</v>
      </c>
      <c r="P126" s="143"/>
      <c r="Q126" s="143"/>
      <c r="R126" s="144"/>
      <c r="S126" s="154" t="s">
        <v>326</v>
      </c>
      <c r="T126" s="146"/>
      <c r="U126" s="147">
        <f t="shared" si="2"/>
        <v>0</v>
      </c>
      <c r="V126" s="147">
        <f t="shared" si="3"/>
        <v>0</v>
      </c>
      <c r="W126" s="152"/>
      <c r="X126" s="151"/>
      <c r="Y126" s="151"/>
      <c r="Z126" s="153"/>
      <c r="AA126" s="153"/>
      <c r="AB126" s="151"/>
      <c r="AC126" s="153"/>
      <c r="AD126" s="153"/>
      <c r="AE126" s="52"/>
    </row>
    <row r="127" spans="1:31">
      <c r="A127" s="135" t="s">
        <v>327</v>
      </c>
      <c r="B127" s="156" t="s">
        <v>328</v>
      </c>
      <c r="C127" s="143" t="s">
        <v>193</v>
      </c>
      <c r="D127" s="137"/>
      <c r="E127" s="135"/>
      <c r="F127" s="138">
        <f>E127/3150</f>
        <v>0</v>
      </c>
      <c r="G127" s="91"/>
      <c r="H127" s="117" t="s">
        <v>194</v>
      </c>
      <c r="I127" s="140" t="s">
        <v>329</v>
      </c>
      <c r="J127" s="135"/>
      <c r="K127" s="141">
        <f>J127/300</f>
        <v>0</v>
      </c>
      <c r="L127" s="135" t="s">
        <v>193</v>
      </c>
      <c r="M127" s="135"/>
      <c r="N127" s="135"/>
      <c r="O127" s="142" t="s">
        <v>330</v>
      </c>
      <c r="P127" s="143"/>
      <c r="Q127" s="143"/>
      <c r="R127" s="144"/>
      <c r="S127" s="145" t="s">
        <v>331</v>
      </c>
      <c r="T127" s="146"/>
      <c r="U127" s="147">
        <f t="shared" si="2"/>
        <v>0</v>
      </c>
      <c r="V127" s="147">
        <f t="shared" si="3"/>
        <v>0</v>
      </c>
      <c r="W127" s="139">
        <v>301</v>
      </c>
      <c r="X127" s="141">
        <f>SUM(U127:U146)</f>
        <v>0</v>
      </c>
      <c r="Y127" s="141">
        <f>X127/2350</f>
        <v>0</v>
      </c>
      <c r="Z127" s="135">
        <v>154</v>
      </c>
      <c r="AA127" s="135">
        <v>91</v>
      </c>
      <c r="AB127" s="141">
        <f>AA127/Z127</f>
        <v>0.590909090909091</v>
      </c>
      <c r="AC127" s="135">
        <v>20</v>
      </c>
      <c r="AD127" s="135">
        <v>0</v>
      </c>
      <c r="AE127" s="135" t="s">
        <v>198</v>
      </c>
    </row>
    <row r="128" spans="1:31">
      <c r="A128" s="52"/>
      <c r="B128" s="148"/>
      <c r="C128" s="52"/>
      <c r="D128" s="52"/>
      <c r="E128" s="52"/>
      <c r="F128" s="149"/>
      <c r="G128" s="150"/>
      <c r="H128" s="52"/>
      <c r="I128" s="148"/>
      <c r="J128" s="52"/>
      <c r="K128" s="151"/>
      <c r="L128" s="52"/>
      <c r="M128" s="52"/>
      <c r="N128" s="52"/>
      <c r="O128" s="142" t="s">
        <v>332</v>
      </c>
      <c r="P128" s="143"/>
      <c r="Q128" s="143"/>
      <c r="R128" s="144"/>
      <c r="S128" s="145" t="s">
        <v>333</v>
      </c>
      <c r="T128" s="146"/>
      <c r="U128" s="147">
        <f t="shared" si="2"/>
        <v>0</v>
      </c>
      <c r="V128" s="147">
        <f t="shared" si="3"/>
        <v>0</v>
      </c>
      <c r="W128" s="152"/>
      <c r="X128" s="151"/>
      <c r="Y128" s="151"/>
      <c r="Z128" s="153"/>
      <c r="AA128" s="153"/>
      <c r="AB128" s="151"/>
      <c r="AC128" s="153"/>
      <c r="AD128" s="153"/>
      <c r="AE128" s="52"/>
    </row>
    <row r="129" spans="1:31">
      <c r="A129" s="52"/>
      <c r="B129" s="148"/>
      <c r="C129" s="52"/>
      <c r="D129" s="52"/>
      <c r="E129" s="52"/>
      <c r="F129" s="149"/>
      <c r="G129" s="150"/>
      <c r="H129" s="52"/>
      <c r="I129" s="148"/>
      <c r="J129" s="52"/>
      <c r="K129" s="151"/>
      <c r="L129" s="52"/>
      <c r="M129" s="52"/>
      <c r="N129" s="52"/>
      <c r="O129" s="142" t="s">
        <v>334</v>
      </c>
      <c r="P129" s="143"/>
      <c r="Q129" s="143"/>
      <c r="R129" s="144"/>
      <c r="S129" s="145" t="s">
        <v>335</v>
      </c>
      <c r="T129" s="146"/>
      <c r="U129" s="147">
        <f t="shared" si="2"/>
        <v>0</v>
      </c>
      <c r="V129" s="147">
        <f t="shared" si="3"/>
        <v>0</v>
      </c>
      <c r="W129" s="152"/>
      <c r="X129" s="151"/>
      <c r="Y129" s="151"/>
      <c r="Z129" s="153"/>
      <c r="AA129" s="153"/>
      <c r="AB129" s="151"/>
      <c r="AC129" s="153"/>
      <c r="AD129" s="153"/>
      <c r="AE129" s="52"/>
    </row>
    <row r="130" spans="1:31">
      <c r="A130" s="52"/>
      <c r="B130" s="148"/>
      <c r="C130" s="52"/>
      <c r="D130" s="52"/>
      <c r="E130" s="52"/>
      <c r="F130" s="149"/>
      <c r="G130" s="150"/>
      <c r="H130" s="52"/>
      <c r="I130" s="148"/>
      <c r="J130" s="52"/>
      <c r="K130" s="151"/>
      <c r="L130" s="52"/>
      <c r="M130" s="52"/>
      <c r="N130" s="52"/>
      <c r="O130" s="142" t="s">
        <v>336</v>
      </c>
      <c r="P130" s="143"/>
      <c r="Q130" s="143"/>
      <c r="R130" s="144"/>
      <c r="S130" s="145" t="s">
        <v>337</v>
      </c>
      <c r="T130" s="146"/>
      <c r="U130" s="147">
        <f t="shared" si="2"/>
        <v>0</v>
      </c>
      <c r="V130" s="147">
        <f t="shared" si="3"/>
        <v>0</v>
      </c>
      <c r="W130" s="152"/>
      <c r="X130" s="151"/>
      <c r="Y130" s="151"/>
      <c r="Z130" s="153"/>
      <c r="AA130" s="153"/>
      <c r="AB130" s="151"/>
      <c r="AC130" s="153"/>
      <c r="AD130" s="153"/>
      <c r="AE130" s="52"/>
    </row>
    <row r="131" spans="1:31">
      <c r="A131" s="52"/>
      <c r="B131" s="148"/>
      <c r="C131" s="52"/>
      <c r="D131" s="52"/>
      <c r="E131" s="52"/>
      <c r="F131" s="149"/>
      <c r="G131" s="150"/>
      <c r="H131" s="52"/>
      <c r="I131" s="148"/>
      <c r="J131" s="52"/>
      <c r="K131" s="151"/>
      <c r="L131" s="52"/>
      <c r="M131" s="52"/>
      <c r="N131" s="52"/>
      <c r="O131" s="142" t="s">
        <v>338</v>
      </c>
      <c r="P131" s="143"/>
      <c r="Q131" s="143"/>
      <c r="R131" s="144"/>
      <c r="S131" s="145" t="s">
        <v>339</v>
      </c>
      <c r="T131" s="146"/>
      <c r="U131" s="147">
        <f t="shared" si="2"/>
        <v>0</v>
      </c>
      <c r="V131" s="147">
        <f t="shared" si="3"/>
        <v>0</v>
      </c>
      <c r="W131" s="152"/>
      <c r="X131" s="151"/>
      <c r="Y131" s="151"/>
      <c r="Z131" s="153"/>
      <c r="AA131" s="153"/>
      <c r="AB131" s="151"/>
      <c r="AC131" s="153"/>
      <c r="AD131" s="153"/>
      <c r="AE131" s="52"/>
    </row>
    <row r="132" spans="1:31">
      <c r="A132" s="52"/>
      <c r="B132" s="148"/>
      <c r="C132" s="52"/>
      <c r="D132" s="52"/>
      <c r="E132" s="52"/>
      <c r="F132" s="149"/>
      <c r="G132" s="150"/>
      <c r="H132" s="52"/>
      <c r="I132" s="148"/>
      <c r="J132" s="52"/>
      <c r="K132" s="151"/>
      <c r="L132" s="52"/>
      <c r="M132" s="52"/>
      <c r="N132" s="52"/>
      <c r="O132" s="142" t="s">
        <v>340</v>
      </c>
      <c r="P132" s="143"/>
      <c r="Q132" s="143"/>
      <c r="R132" s="144"/>
      <c r="S132" s="145" t="s">
        <v>341</v>
      </c>
      <c r="T132" s="146"/>
      <c r="U132" s="147">
        <f t="shared" ref="U132:U163" si="4">R132*0.935</f>
        <v>0</v>
      </c>
      <c r="V132" s="147">
        <f t="shared" ref="V132:V163" si="5">U132/215</f>
        <v>0</v>
      </c>
      <c r="W132" s="152"/>
      <c r="X132" s="151"/>
      <c r="Y132" s="151"/>
      <c r="Z132" s="153"/>
      <c r="AA132" s="153"/>
      <c r="AB132" s="151"/>
      <c r="AC132" s="153"/>
      <c r="AD132" s="153"/>
      <c r="AE132" s="135"/>
    </row>
    <row r="133" spans="1:31">
      <c r="A133" s="52"/>
      <c r="B133" s="148"/>
      <c r="C133" s="52"/>
      <c r="D133" s="52"/>
      <c r="E133" s="52"/>
      <c r="F133" s="149"/>
      <c r="G133" s="150"/>
      <c r="H133" s="52"/>
      <c r="I133" s="148"/>
      <c r="J133" s="52"/>
      <c r="K133" s="151"/>
      <c r="L133" s="52"/>
      <c r="M133" s="52"/>
      <c r="N133" s="52"/>
      <c r="O133" s="142" t="s">
        <v>342</v>
      </c>
      <c r="P133" s="143"/>
      <c r="Q133" s="143"/>
      <c r="R133" s="144"/>
      <c r="S133" s="145" t="s">
        <v>343</v>
      </c>
      <c r="T133" s="146"/>
      <c r="U133" s="147">
        <f t="shared" si="4"/>
        <v>0</v>
      </c>
      <c r="V133" s="147">
        <f t="shared" si="5"/>
        <v>0</v>
      </c>
      <c r="W133" s="152"/>
      <c r="X133" s="151"/>
      <c r="Y133" s="151"/>
      <c r="Z133" s="153"/>
      <c r="AA133" s="153"/>
      <c r="AB133" s="151"/>
      <c r="AC133" s="153"/>
      <c r="AD133" s="153"/>
      <c r="AE133" s="52"/>
    </row>
    <row r="134" spans="1:31">
      <c r="A134" s="52"/>
      <c r="B134" s="148"/>
      <c r="C134" s="52"/>
      <c r="D134" s="52"/>
      <c r="E134" s="52"/>
      <c r="F134" s="149"/>
      <c r="G134" s="150"/>
      <c r="H134" s="52"/>
      <c r="I134" s="148"/>
      <c r="J134" s="52"/>
      <c r="K134" s="151"/>
      <c r="L134" s="52"/>
      <c r="M134" s="52"/>
      <c r="N134" s="52"/>
      <c r="O134" s="142" t="s">
        <v>344</v>
      </c>
      <c r="P134" s="143"/>
      <c r="Q134" s="143"/>
      <c r="R134" s="144"/>
      <c r="S134" s="145" t="s">
        <v>345</v>
      </c>
      <c r="T134" s="146"/>
      <c r="U134" s="147">
        <f t="shared" si="4"/>
        <v>0</v>
      </c>
      <c r="V134" s="147">
        <f t="shared" si="5"/>
        <v>0</v>
      </c>
      <c r="W134" s="152"/>
      <c r="X134" s="151"/>
      <c r="Y134" s="151"/>
      <c r="Z134" s="153"/>
      <c r="AA134" s="153"/>
      <c r="AB134" s="151"/>
      <c r="AC134" s="153"/>
      <c r="AD134" s="153"/>
      <c r="AE134" s="52"/>
    </row>
    <row r="135" spans="1:31">
      <c r="A135" s="52"/>
      <c r="B135" s="148"/>
      <c r="C135" s="52"/>
      <c r="D135" s="52"/>
      <c r="E135" s="52"/>
      <c r="F135" s="149"/>
      <c r="G135" s="150"/>
      <c r="H135" s="52"/>
      <c r="I135" s="148"/>
      <c r="J135" s="52"/>
      <c r="K135" s="151"/>
      <c r="L135" s="52"/>
      <c r="M135" s="52"/>
      <c r="N135" s="52"/>
      <c r="O135" s="142" t="s">
        <v>346</v>
      </c>
      <c r="P135" s="143"/>
      <c r="Q135" s="143"/>
      <c r="R135" s="144"/>
      <c r="S135" s="145" t="s">
        <v>347</v>
      </c>
      <c r="T135" s="146"/>
      <c r="U135" s="147">
        <f t="shared" si="4"/>
        <v>0</v>
      </c>
      <c r="V135" s="147">
        <f t="shared" si="5"/>
        <v>0</v>
      </c>
      <c r="W135" s="152"/>
      <c r="X135" s="151"/>
      <c r="Y135" s="151"/>
      <c r="Z135" s="153"/>
      <c r="AA135" s="153"/>
      <c r="AB135" s="151"/>
      <c r="AC135" s="153"/>
      <c r="AD135" s="153"/>
      <c r="AE135" s="52"/>
    </row>
    <row r="136" spans="1:31">
      <c r="A136" s="52"/>
      <c r="B136" s="157"/>
      <c r="C136" s="29"/>
      <c r="D136" s="29"/>
      <c r="E136" s="52"/>
      <c r="F136" s="92"/>
      <c r="G136" s="94"/>
      <c r="H136" s="29"/>
      <c r="I136" s="148"/>
      <c r="J136" s="52"/>
      <c r="K136" s="151"/>
      <c r="L136" s="52"/>
      <c r="M136" s="52"/>
      <c r="N136" s="52"/>
      <c r="O136" s="142" t="s">
        <v>348</v>
      </c>
      <c r="P136" s="143"/>
      <c r="Q136" s="143"/>
      <c r="R136" s="144"/>
      <c r="S136" s="145" t="s">
        <v>349</v>
      </c>
      <c r="T136" s="146"/>
      <c r="U136" s="147">
        <f t="shared" si="4"/>
        <v>0</v>
      </c>
      <c r="V136" s="147">
        <f t="shared" si="5"/>
        <v>0</v>
      </c>
      <c r="W136" s="152"/>
      <c r="X136" s="151"/>
      <c r="Y136" s="151"/>
      <c r="Z136" s="153"/>
      <c r="AA136" s="153"/>
      <c r="AB136" s="151"/>
      <c r="AC136" s="153"/>
      <c r="AD136" s="153"/>
      <c r="AE136" s="52"/>
    </row>
    <row r="137" spans="1:31">
      <c r="A137" s="52"/>
      <c r="B137" s="156" t="s">
        <v>350</v>
      </c>
      <c r="C137" s="143" t="s">
        <v>193</v>
      </c>
      <c r="D137" s="137"/>
      <c r="E137" s="135"/>
      <c r="F137" s="138">
        <f>E137/3150</f>
        <v>0</v>
      </c>
      <c r="G137" s="91"/>
      <c r="H137" s="117" t="s">
        <v>194</v>
      </c>
      <c r="I137" s="148"/>
      <c r="J137" s="52"/>
      <c r="K137" s="151"/>
      <c r="L137" s="52"/>
      <c r="M137" s="52"/>
      <c r="N137" s="52"/>
      <c r="O137" s="142" t="s">
        <v>351</v>
      </c>
      <c r="P137" s="143"/>
      <c r="Q137" s="143"/>
      <c r="R137" s="144"/>
      <c r="S137" s="154" t="s">
        <v>352</v>
      </c>
      <c r="T137" s="146"/>
      <c r="U137" s="147">
        <f t="shared" si="4"/>
        <v>0</v>
      </c>
      <c r="V137" s="147">
        <f t="shared" si="5"/>
        <v>0</v>
      </c>
      <c r="W137" s="152"/>
      <c r="X137" s="151"/>
      <c r="Y137" s="151"/>
      <c r="Z137" s="153"/>
      <c r="AA137" s="153"/>
      <c r="AB137" s="151"/>
      <c r="AC137" s="153"/>
      <c r="AD137" s="153"/>
      <c r="AE137" s="143" t="s">
        <v>220</v>
      </c>
    </row>
    <row r="138" spans="1:31">
      <c r="A138" s="52"/>
      <c r="B138" s="148"/>
      <c r="C138" s="52"/>
      <c r="D138" s="52"/>
      <c r="E138" s="52"/>
      <c r="F138" s="149"/>
      <c r="G138" s="150"/>
      <c r="H138" s="52"/>
      <c r="I138" s="148"/>
      <c r="J138" s="52"/>
      <c r="K138" s="151"/>
      <c r="L138" s="52"/>
      <c r="M138" s="52"/>
      <c r="N138" s="52"/>
      <c r="O138" s="142" t="s">
        <v>353</v>
      </c>
      <c r="P138" s="143"/>
      <c r="Q138" s="143"/>
      <c r="R138" s="144"/>
      <c r="S138" s="154" t="s">
        <v>354</v>
      </c>
      <c r="T138" s="146"/>
      <c r="U138" s="147">
        <f t="shared" si="4"/>
        <v>0</v>
      </c>
      <c r="V138" s="147">
        <f t="shared" si="5"/>
        <v>0</v>
      </c>
      <c r="W138" s="152"/>
      <c r="X138" s="151"/>
      <c r="Y138" s="151"/>
      <c r="Z138" s="153"/>
      <c r="AA138" s="153"/>
      <c r="AB138" s="151"/>
      <c r="AC138" s="153"/>
      <c r="AD138" s="153"/>
      <c r="AE138" s="52"/>
    </row>
    <row r="139" spans="1:31">
      <c r="A139" s="52"/>
      <c r="B139" s="148"/>
      <c r="C139" s="52"/>
      <c r="D139" s="52"/>
      <c r="E139" s="52"/>
      <c r="F139" s="149"/>
      <c r="G139" s="150"/>
      <c r="H139" s="52"/>
      <c r="I139" s="148"/>
      <c r="J139" s="52"/>
      <c r="K139" s="151"/>
      <c r="L139" s="52"/>
      <c r="M139" s="52"/>
      <c r="N139" s="52"/>
      <c r="O139" s="142" t="s">
        <v>355</v>
      </c>
      <c r="P139" s="143"/>
      <c r="Q139" s="143"/>
      <c r="R139" s="144"/>
      <c r="S139" s="154" t="s">
        <v>356</v>
      </c>
      <c r="T139" s="146"/>
      <c r="U139" s="147">
        <f t="shared" si="4"/>
        <v>0</v>
      </c>
      <c r="V139" s="147">
        <f t="shared" si="5"/>
        <v>0</v>
      </c>
      <c r="W139" s="152"/>
      <c r="X139" s="151"/>
      <c r="Y139" s="151"/>
      <c r="Z139" s="153"/>
      <c r="AA139" s="153"/>
      <c r="AB139" s="151"/>
      <c r="AC139" s="153"/>
      <c r="AD139" s="153"/>
      <c r="AE139" s="52"/>
    </row>
    <row r="140" spans="1:31">
      <c r="A140" s="52"/>
      <c r="B140" s="148"/>
      <c r="C140" s="52"/>
      <c r="D140" s="52"/>
      <c r="E140" s="52"/>
      <c r="F140" s="149"/>
      <c r="G140" s="150"/>
      <c r="H140" s="52"/>
      <c r="I140" s="148"/>
      <c r="J140" s="52"/>
      <c r="K140" s="151"/>
      <c r="L140" s="52"/>
      <c r="M140" s="52"/>
      <c r="N140" s="52"/>
      <c r="O140" s="142" t="s">
        <v>357</v>
      </c>
      <c r="P140" s="143"/>
      <c r="Q140" s="143"/>
      <c r="R140" s="144"/>
      <c r="S140" s="154" t="s">
        <v>358</v>
      </c>
      <c r="T140" s="146"/>
      <c r="U140" s="147">
        <f t="shared" si="4"/>
        <v>0</v>
      </c>
      <c r="V140" s="147">
        <f t="shared" si="5"/>
        <v>0</v>
      </c>
      <c r="W140" s="152"/>
      <c r="X140" s="151"/>
      <c r="Y140" s="151"/>
      <c r="Z140" s="153"/>
      <c r="AA140" s="153"/>
      <c r="AB140" s="151"/>
      <c r="AC140" s="153"/>
      <c r="AD140" s="153"/>
      <c r="AE140" s="52"/>
    </row>
    <row r="141" spans="1:31">
      <c r="A141" s="52"/>
      <c r="B141" s="148"/>
      <c r="C141" s="52"/>
      <c r="D141" s="52"/>
      <c r="E141" s="52"/>
      <c r="F141" s="149"/>
      <c r="G141" s="150"/>
      <c r="H141" s="52"/>
      <c r="I141" s="148"/>
      <c r="J141" s="52"/>
      <c r="K141" s="151"/>
      <c r="L141" s="52"/>
      <c r="M141" s="52"/>
      <c r="N141" s="52"/>
      <c r="O141" s="142" t="s">
        <v>359</v>
      </c>
      <c r="P141" s="143"/>
      <c r="Q141" s="143"/>
      <c r="R141" s="144"/>
      <c r="S141" s="154" t="s">
        <v>360</v>
      </c>
      <c r="T141" s="146"/>
      <c r="U141" s="147">
        <f t="shared" si="4"/>
        <v>0</v>
      </c>
      <c r="V141" s="147">
        <f t="shared" si="5"/>
        <v>0</v>
      </c>
      <c r="W141" s="152"/>
      <c r="X141" s="151"/>
      <c r="Y141" s="151"/>
      <c r="Z141" s="153"/>
      <c r="AA141" s="153"/>
      <c r="AB141" s="151"/>
      <c r="AC141" s="153"/>
      <c r="AD141" s="153"/>
      <c r="AE141" s="29"/>
    </row>
    <row r="142" spans="1:31">
      <c r="A142" s="52"/>
      <c r="B142" s="148"/>
      <c r="C142" s="52"/>
      <c r="D142" s="52"/>
      <c r="E142" s="52"/>
      <c r="F142" s="149"/>
      <c r="G142" s="150"/>
      <c r="H142" s="52"/>
      <c r="I142" s="148"/>
      <c r="J142" s="52"/>
      <c r="K142" s="151"/>
      <c r="L142" s="52"/>
      <c r="M142" s="52"/>
      <c r="N142" s="52"/>
      <c r="O142" s="142" t="s">
        <v>361</v>
      </c>
      <c r="P142" s="143"/>
      <c r="Q142" s="143"/>
      <c r="R142" s="144"/>
      <c r="S142" s="154" t="s">
        <v>362</v>
      </c>
      <c r="T142" s="146"/>
      <c r="U142" s="147">
        <f t="shared" si="4"/>
        <v>0</v>
      </c>
      <c r="V142" s="147">
        <f t="shared" si="5"/>
        <v>0</v>
      </c>
      <c r="W142" s="152"/>
      <c r="X142" s="151"/>
      <c r="Y142" s="151"/>
      <c r="Z142" s="153"/>
      <c r="AA142" s="153"/>
      <c r="AB142" s="151"/>
      <c r="AC142" s="153"/>
      <c r="AD142" s="153"/>
      <c r="AE142" s="135"/>
    </row>
    <row r="143" spans="1:31">
      <c r="A143" s="52"/>
      <c r="B143" s="148"/>
      <c r="C143" s="52"/>
      <c r="D143" s="52"/>
      <c r="E143" s="52"/>
      <c r="F143" s="149"/>
      <c r="G143" s="150"/>
      <c r="H143" s="52"/>
      <c r="I143" s="148"/>
      <c r="J143" s="52"/>
      <c r="K143" s="151"/>
      <c r="L143" s="52"/>
      <c r="M143" s="52"/>
      <c r="N143" s="52"/>
      <c r="O143" s="142" t="s">
        <v>363</v>
      </c>
      <c r="P143" s="143"/>
      <c r="Q143" s="143"/>
      <c r="R143" s="144"/>
      <c r="S143" s="154" t="s">
        <v>364</v>
      </c>
      <c r="T143" s="146"/>
      <c r="U143" s="147">
        <f t="shared" si="4"/>
        <v>0</v>
      </c>
      <c r="V143" s="147">
        <f t="shared" si="5"/>
        <v>0</v>
      </c>
      <c r="W143" s="152"/>
      <c r="X143" s="151"/>
      <c r="Y143" s="151"/>
      <c r="Z143" s="153"/>
      <c r="AA143" s="153"/>
      <c r="AB143" s="151"/>
      <c r="AC143" s="153"/>
      <c r="AD143" s="153"/>
      <c r="AE143" s="52"/>
    </row>
    <row r="144" spans="1:31">
      <c r="A144" s="52"/>
      <c r="B144" s="148"/>
      <c r="C144" s="52"/>
      <c r="D144" s="52"/>
      <c r="E144" s="52"/>
      <c r="F144" s="149"/>
      <c r="G144" s="150"/>
      <c r="H144" s="52"/>
      <c r="I144" s="148"/>
      <c r="J144" s="52"/>
      <c r="K144" s="151"/>
      <c r="L144" s="52"/>
      <c r="M144" s="52"/>
      <c r="N144" s="52"/>
      <c r="O144" s="142" t="s">
        <v>365</v>
      </c>
      <c r="P144" s="143"/>
      <c r="Q144" s="143"/>
      <c r="R144" s="144"/>
      <c r="S144" s="154" t="s">
        <v>366</v>
      </c>
      <c r="T144" s="146"/>
      <c r="U144" s="147">
        <f t="shared" si="4"/>
        <v>0</v>
      </c>
      <c r="V144" s="147">
        <f t="shared" si="5"/>
        <v>0</v>
      </c>
      <c r="W144" s="152"/>
      <c r="X144" s="151"/>
      <c r="Y144" s="151"/>
      <c r="Z144" s="153"/>
      <c r="AA144" s="153"/>
      <c r="AB144" s="151"/>
      <c r="AC144" s="153"/>
      <c r="AD144" s="153"/>
      <c r="AE144" s="52"/>
    </row>
    <row r="145" spans="1:31">
      <c r="A145" s="52"/>
      <c r="B145" s="148"/>
      <c r="C145" s="52"/>
      <c r="D145" s="52"/>
      <c r="E145" s="52"/>
      <c r="F145" s="149"/>
      <c r="G145" s="150"/>
      <c r="H145" s="52"/>
      <c r="I145" s="148"/>
      <c r="J145" s="52"/>
      <c r="K145" s="151"/>
      <c r="L145" s="52"/>
      <c r="M145" s="52"/>
      <c r="N145" s="52"/>
      <c r="O145" s="142" t="s">
        <v>367</v>
      </c>
      <c r="P145" s="143"/>
      <c r="Q145" s="143"/>
      <c r="R145" s="144"/>
      <c r="S145" s="154" t="s">
        <v>368</v>
      </c>
      <c r="T145" s="146"/>
      <c r="U145" s="147">
        <f t="shared" si="4"/>
        <v>0</v>
      </c>
      <c r="V145" s="147">
        <f t="shared" si="5"/>
        <v>0</v>
      </c>
      <c r="W145" s="152"/>
      <c r="X145" s="151"/>
      <c r="Y145" s="151"/>
      <c r="Z145" s="153"/>
      <c r="AA145" s="153"/>
      <c r="AB145" s="151"/>
      <c r="AC145" s="153"/>
      <c r="AD145" s="153"/>
      <c r="AE145" s="52"/>
    </row>
    <row r="146" spans="1:31">
      <c r="A146" s="52"/>
      <c r="B146" s="157"/>
      <c r="C146" s="29"/>
      <c r="D146" s="29"/>
      <c r="E146" s="52"/>
      <c r="F146" s="92"/>
      <c r="G146" s="94"/>
      <c r="H146" s="29"/>
      <c r="I146" s="148"/>
      <c r="J146" s="52"/>
      <c r="K146" s="151"/>
      <c r="L146" s="52"/>
      <c r="M146" s="52"/>
      <c r="N146" s="52"/>
      <c r="O146" s="142" t="s">
        <v>369</v>
      </c>
      <c r="P146" s="143"/>
      <c r="Q146" s="143"/>
      <c r="R146" s="144"/>
      <c r="S146" s="154" t="s">
        <v>370</v>
      </c>
      <c r="T146" s="146"/>
      <c r="U146" s="147">
        <f t="shared" si="4"/>
        <v>0</v>
      </c>
      <c r="V146" s="147">
        <f t="shared" si="5"/>
        <v>0</v>
      </c>
      <c r="W146" s="152"/>
      <c r="X146" s="151"/>
      <c r="Y146" s="151"/>
      <c r="Z146" s="153"/>
      <c r="AA146" s="153"/>
      <c r="AB146" s="151"/>
      <c r="AC146" s="153"/>
      <c r="AD146" s="153"/>
      <c r="AE146" s="52"/>
    </row>
    <row r="147" spans="1:31">
      <c r="A147" s="135" t="s">
        <v>371</v>
      </c>
      <c r="B147" s="136" t="s">
        <v>372</v>
      </c>
      <c r="C147" s="135" t="s">
        <v>193</v>
      </c>
      <c r="D147" s="137"/>
      <c r="E147" s="135"/>
      <c r="F147" s="138">
        <f>E147/3150</f>
        <v>0</v>
      </c>
      <c r="G147" s="91"/>
      <c r="H147" s="139" t="s">
        <v>194</v>
      </c>
      <c r="I147" s="158" t="s">
        <v>373</v>
      </c>
      <c r="J147" s="135"/>
      <c r="K147" s="141">
        <f>J147/300</f>
        <v>0</v>
      </c>
      <c r="L147" s="135" t="s">
        <v>193</v>
      </c>
      <c r="M147" s="135"/>
      <c r="N147" s="135"/>
      <c r="O147" s="142" t="s">
        <v>374</v>
      </c>
      <c r="P147" s="143"/>
      <c r="Q147" s="143"/>
      <c r="R147" s="144"/>
      <c r="S147" s="145" t="s">
        <v>375</v>
      </c>
      <c r="T147" s="146"/>
      <c r="U147" s="147">
        <f t="shared" si="4"/>
        <v>0</v>
      </c>
      <c r="V147" s="147">
        <f t="shared" si="5"/>
        <v>0</v>
      </c>
      <c r="W147" s="139">
        <v>402</v>
      </c>
      <c r="X147" s="141">
        <f>SUM(U147:U166)</f>
        <v>0</v>
      </c>
      <c r="Y147" s="141">
        <f>X147/2350</f>
        <v>0</v>
      </c>
      <c r="Z147" s="135">
        <v>170</v>
      </c>
      <c r="AA147" s="135">
        <v>0</v>
      </c>
      <c r="AB147" s="141">
        <f>AA147/Z147</f>
        <v>0</v>
      </c>
      <c r="AC147" s="135">
        <v>6</v>
      </c>
      <c r="AD147" s="135">
        <v>14</v>
      </c>
      <c r="AE147" s="135" t="s">
        <v>198</v>
      </c>
    </row>
    <row r="148" spans="1:31">
      <c r="A148" s="52"/>
      <c r="B148" s="148"/>
      <c r="C148" s="52"/>
      <c r="D148" s="52"/>
      <c r="E148" s="52"/>
      <c r="F148" s="149"/>
      <c r="G148" s="150"/>
      <c r="H148" s="52"/>
      <c r="I148" s="148"/>
      <c r="J148" s="52"/>
      <c r="K148" s="151"/>
      <c r="L148" s="52"/>
      <c r="M148" s="52"/>
      <c r="N148" s="52"/>
      <c r="O148" s="142" t="s">
        <v>376</v>
      </c>
      <c r="P148" s="143"/>
      <c r="Q148" s="143"/>
      <c r="R148" s="144"/>
      <c r="S148" s="145" t="s">
        <v>377</v>
      </c>
      <c r="T148" s="146"/>
      <c r="U148" s="147">
        <f t="shared" si="4"/>
        <v>0</v>
      </c>
      <c r="V148" s="147">
        <f t="shared" si="5"/>
        <v>0</v>
      </c>
      <c r="W148" s="152"/>
      <c r="X148" s="151"/>
      <c r="Y148" s="151"/>
      <c r="Z148" s="153"/>
      <c r="AA148" s="153"/>
      <c r="AB148" s="151"/>
      <c r="AC148" s="153"/>
      <c r="AD148" s="153"/>
      <c r="AE148" s="52"/>
    </row>
    <row r="149" spans="1:31">
      <c r="A149" s="52"/>
      <c r="B149" s="148"/>
      <c r="C149" s="52"/>
      <c r="D149" s="52"/>
      <c r="E149" s="52"/>
      <c r="F149" s="149"/>
      <c r="G149" s="150"/>
      <c r="H149" s="52"/>
      <c r="I149" s="148"/>
      <c r="J149" s="52"/>
      <c r="K149" s="151"/>
      <c r="L149" s="52"/>
      <c r="M149" s="52"/>
      <c r="N149" s="52"/>
      <c r="O149" s="142" t="s">
        <v>378</v>
      </c>
      <c r="P149" s="143"/>
      <c r="Q149" s="143"/>
      <c r="R149" s="144"/>
      <c r="S149" s="145" t="s">
        <v>379</v>
      </c>
      <c r="T149" s="146"/>
      <c r="U149" s="147">
        <f t="shared" si="4"/>
        <v>0</v>
      </c>
      <c r="V149" s="147">
        <f t="shared" si="5"/>
        <v>0</v>
      </c>
      <c r="W149" s="152"/>
      <c r="X149" s="151"/>
      <c r="Y149" s="151"/>
      <c r="Z149" s="153"/>
      <c r="AA149" s="153"/>
      <c r="AB149" s="151"/>
      <c r="AC149" s="153"/>
      <c r="AD149" s="153"/>
      <c r="AE149" s="52"/>
    </row>
    <row r="150" spans="1:31">
      <c r="A150" s="52"/>
      <c r="B150" s="148"/>
      <c r="C150" s="52"/>
      <c r="D150" s="52"/>
      <c r="E150" s="52"/>
      <c r="F150" s="149"/>
      <c r="G150" s="150"/>
      <c r="H150" s="52"/>
      <c r="I150" s="148"/>
      <c r="J150" s="52"/>
      <c r="K150" s="151"/>
      <c r="L150" s="52"/>
      <c r="M150" s="52"/>
      <c r="N150" s="52"/>
      <c r="O150" s="142" t="s">
        <v>380</v>
      </c>
      <c r="P150" s="143"/>
      <c r="Q150" s="143"/>
      <c r="R150" s="144"/>
      <c r="S150" s="145" t="s">
        <v>381</v>
      </c>
      <c r="T150" s="146"/>
      <c r="U150" s="147">
        <f t="shared" si="4"/>
        <v>0</v>
      </c>
      <c r="V150" s="147">
        <f t="shared" si="5"/>
        <v>0</v>
      </c>
      <c r="W150" s="152"/>
      <c r="X150" s="151"/>
      <c r="Y150" s="151"/>
      <c r="Z150" s="153"/>
      <c r="AA150" s="153"/>
      <c r="AB150" s="151"/>
      <c r="AC150" s="153"/>
      <c r="AD150" s="153"/>
      <c r="AE150" s="52"/>
    </row>
    <row r="151" spans="1:31">
      <c r="A151" s="52"/>
      <c r="B151" s="148"/>
      <c r="C151" s="52"/>
      <c r="D151" s="52"/>
      <c r="E151" s="52"/>
      <c r="F151" s="149"/>
      <c r="G151" s="150"/>
      <c r="H151" s="52"/>
      <c r="I151" s="148"/>
      <c r="J151" s="52"/>
      <c r="K151" s="151"/>
      <c r="L151" s="52"/>
      <c r="M151" s="52"/>
      <c r="N151" s="52"/>
      <c r="O151" s="142" t="s">
        <v>382</v>
      </c>
      <c r="P151" s="143"/>
      <c r="Q151" s="143"/>
      <c r="R151" s="144"/>
      <c r="S151" s="145" t="s">
        <v>383</v>
      </c>
      <c r="T151" s="146"/>
      <c r="U151" s="147">
        <f t="shared" si="4"/>
        <v>0</v>
      </c>
      <c r="V151" s="147">
        <f t="shared" si="5"/>
        <v>0</v>
      </c>
      <c r="W151" s="152"/>
      <c r="X151" s="151"/>
      <c r="Y151" s="151"/>
      <c r="Z151" s="153"/>
      <c r="AA151" s="153"/>
      <c r="AB151" s="151"/>
      <c r="AC151" s="153"/>
      <c r="AD151" s="153"/>
      <c r="AE151" s="52"/>
    </row>
    <row r="152" spans="1:31">
      <c r="A152" s="52"/>
      <c r="B152" s="148"/>
      <c r="C152" s="52"/>
      <c r="D152" s="52"/>
      <c r="E152" s="52"/>
      <c r="F152" s="149"/>
      <c r="G152" s="150"/>
      <c r="H152" s="52"/>
      <c r="I152" s="148"/>
      <c r="J152" s="52"/>
      <c r="K152" s="151"/>
      <c r="L152" s="52"/>
      <c r="M152" s="52"/>
      <c r="N152" s="52"/>
      <c r="O152" s="142" t="s">
        <v>384</v>
      </c>
      <c r="P152" s="143"/>
      <c r="Q152" s="143"/>
      <c r="R152" s="144"/>
      <c r="S152" s="145" t="s">
        <v>385</v>
      </c>
      <c r="T152" s="146"/>
      <c r="U152" s="147">
        <f t="shared" si="4"/>
        <v>0</v>
      </c>
      <c r="V152" s="147">
        <f t="shared" si="5"/>
        <v>0</v>
      </c>
      <c r="W152" s="152"/>
      <c r="X152" s="151"/>
      <c r="Y152" s="151"/>
      <c r="Z152" s="153"/>
      <c r="AA152" s="153"/>
      <c r="AB152" s="151"/>
      <c r="AC152" s="153"/>
      <c r="AD152" s="153"/>
      <c r="AE152" s="135"/>
    </row>
    <row r="153" spans="1:31">
      <c r="A153" s="52"/>
      <c r="B153" s="148"/>
      <c r="C153" s="52"/>
      <c r="D153" s="52"/>
      <c r="E153" s="52"/>
      <c r="F153" s="149"/>
      <c r="G153" s="150"/>
      <c r="H153" s="52"/>
      <c r="I153" s="148"/>
      <c r="J153" s="52"/>
      <c r="K153" s="151"/>
      <c r="L153" s="52"/>
      <c r="M153" s="52"/>
      <c r="N153" s="52"/>
      <c r="O153" s="142" t="s">
        <v>386</v>
      </c>
      <c r="P153" s="143"/>
      <c r="Q153" s="143"/>
      <c r="R153" s="144"/>
      <c r="S153" s="145" t="s">
        <v>387</v>
      </c>
      <c r="T153" s="146"/>
      <c r="U153" s="147">
        <f t="shared" si="4"/>
        <v>0</v>
      </c>
      <c r="V153" s="147">
        <f t="shared" si="5"/>
        <v>0</v>
      </c>
      <c r="W153" s="152"/>
      <c r="X153" s="151"/>
      <c r="Y153" s="151"/>
      <c r="Z153" s="153"/>
      <c r="AA153" s="153"/>
      <c r="AB153" s="151"/>
      <c r="AC153" s="153"/>
      <c r="AD153" s="153"/>
      <c r="AE153" s="52"/>
    </row>
    <row r="154" spans="1:31">
      <c r="A154" s="52"/>
      <c r="B154" s="148"/>
      <c r="C154" s="52"/>
      <c r="D154" s="52"/>
      <c r="E154" s="52"/>
      <c r="F154" s="149"/>
      <c r="G154" s="150"/>
      <c r="H154" s="52"/>
      <c r="I154" s="148"/>
      <c r="J154" s="52"/>
      <c r="K154" s="151"/>
      <c r="L154" s="52"/>
      <c r="M154" s="52"/>
      <c r="N154" s="52"/>
      <c r="O154" s="142" t="s">
        <v>388</v>
      </c>
      <c r="P154" s="143"/>
      <c r="Q154" s="143"/>
      <c r="R154" s="144"/>
      <c r="S154" s="145" t="s">
        <v>389</v>
      </c>
      <c r="T154" s="146"/>
      <c r="U154" s="147">
        <f t="shared" si="4"/>
        <v>0</v>
      </c>
      <c r="V154" s="147">
        <f t="shared" si="5"/>
        <v>0</v>
      </c>
      <c r="W154" s="152"/>
      <c r="X154" s="151"/>
      <c r="Y154" s="151"/>
      <c r="Z154" s="153"/>
      <c r="AA154" s="153"/>
      <c r="AB154" s="151"/>
      <c r="AC154" s="153"/>
      <c r="AD154" s="153"/>
      <c r="AE154" s="52"/>
    </row>
    <row r="155" spans="1:31">
      <c r="A155" s="52"/>
      <c r="B155" s="148"/>
      <c r="C155" s="52"/>
      <c r="D155" s="52"/>
      <c r="E155" s="52"/>
      <c r="F155" s="149"/>
      <c r="G155" s="150"/>
      <c r="H155" s="52"/>
      <c r="I155" s="148"/>
      <c r="J155" s="52"/>
      <c r="K155" s="151"/>
      <c r="L155" s="52"/>
      <c r="M155" s="52"/>
      <c r="N155" s="52"/>
      <c r="O155" s="142" t="s">
        <v>390</v>
      </c>
      <c r="P155" s="143"/>
      <c r="Q155" s="143"/>
      <c r="R155" s="144"/>
      <c r="S155" s="145" t="s">
        <v>391</v>
      </c>
      <c r="T155" s="146"/>
      <c r="U155" s="147">
        <f t="shared" si="4"/>
        <v>0</v>
      </c>
      <c r="V155" s="147">
        <f t="shared" si="5"/>
        <v>0</v>
      </c>
      <c r="W155" s="152"/>
      <c r="X155" s="151"/>
      <c r="Y155" s="151"/>
      <c r="Z155" s="153"/>
      <c r="AA155" s="153"/>
      <c r="AB155" s="151"/>
      <c r="AC155" s="153"/>
      <c r="AD155" s="153"/>
      <c r="AE155" s="52"/>
    </row>
    <row r="156" spans="1:31">
      <c r="A156" s="52"/>
      <c r="B156" s="148"/>
      <c r="C156" s="52"/>
      <c r="D156" s="29"/>
      <c r="E156" s="52"/>
      <c r="F156" s="92"/>
      <c r="G156" s="94"/>
      <c r="H156" s="52"/>
      <c r="I156" s="148"/>
      <c r="J156" s="52"/>
      <c r="K156" s="151"/>
      <c r="L156" s="52"/>
      <c r="M156" s="52"/>
      <c r="N156" s="52"/>
      <c r="O156" s="142" t="s">
        <v>392</v>
      </c>
      <c r="P156" s="143"/>
      <c r="Q156" s="143"/>
      <c r="R156" s="144"/>
      <c r="S156" s="145" t="s">
        <v>393</v>
      </c>
      <c r="T156" s="146"/>
      <c r="U156" s="147">
        <f t="shared" si="4"/>
        <v>0</v>
      </c>
      <c r="V156" s="147">
        <f t="shared" si="5"/>
        <v>0</v>
      </c>
      <c r="W156" s="152"/>
      <c r="X156" s="151"/>
      <c r="Y156" s="151"/>
      <c r="Z156" s="153"/>
      <c r="AA156" s="153"/>
      <c r="AB156" s="151"/>
      <c r="AC156" s="153"/>
      <c r="AD156" s="153"/>
      <c r="AE156" s="52"/>
    </row>
    <row r="157" spans="1:31">
      <c r="A157" s="52"/>
      <c r="B157" s="136" t="s">
        <v>394</v>
      </c>
      <c r="C157" s="135" t="s">
        <v>193</v>
      </c>
      <c r="D157" s="137"/>
      <c r="E157" s="135"/>
      <c r="F157" s="138">
        <f>E157/3150</f>
        <v>0</v>
      </c>
      <c r="G157" s="91"/>
      <c r="H157" s="139" t="s">
        <v>194</v>
      </c>
      <c r="I157" s="148"/>
      <c r="J157" s="52"/>
      <c r="K157" s="151"/>
      <c r="L157" s="52"/>
      <c r="M157" s="52"/>
      <c r="N157" s="52"/>
      <c r="O157" s="142" t="s">
        <v>395</v>
      </c>
      <c r="P157" s="143"/>
      <c r="Q157" s="143"/>
      <c r="R157" s="144"/>
      <c r="S157" s="154" t="s">
        <v>396</v>
      </c>
      <c r="T157" s="146"/>
      <c r="U157" s="147">
        <f t="shared" si="4"/>
        <v>0</v>
      </c>
      <c r="V157" s="147">
        <f t="shared" si="5"/>
        <v>0</v>
      </c>
      <c r="W157" s="152"/>
      <c r="X157" s="151"/>
      <c r="Y157" s="151"/>
      <c r="Z157" s="153"/>
      <c r="AA157" s="153"/>
      <c r="AB157" s="151"/>
      <c r="AC157" s="153"/>
      <c r="AD157" s="153"/>
      <c r="AE157" s="143" t="s">
        <v>220</v>
      </c>
    </row>
    <row r="158" spans="1:31">
      <c r="A158" s="52"/>
      <c r="B158" s="148"/>
      <c r="C158" s="52"/>
      <c r="D158" s="52"/>
      <c r="E158" s="52"/>
      <c r="F158" s="149"/>
      <c r="G158" s="150"/>
      <c r="H158" s="52"/>
      <c r="I158" s="148"/>
      <c r="J158" s="52"/>
      <c r="K158" s="151"/>
      <c r="L158" s="52"/>
      <c r="M158" s="52"/>
      <c r="N158" s="52"/>
      <c r="O158" s="142" t="s">
        <v>397</v>
      </c>
      <c r="P158" s="143"/>
      <c r="Q158" s="143"/>
      <c r="R158" s="144"/>
      <c r="S158" s="154" t="s">
        <v>398</v>
      </c>
      <c r="T158" s="146"/>
      <c r="U158" s="147">
        <f t="shared" si="4"/>
        <v>0</v>
      </c>
      <c r="V158" s="147">
        <f t="shared" si="5"/>
        <v>0</v>
      </c>
      <c r="W158" s="152"/>
      <c r="X158" s="151"/>
      <c r="Y158" s="151"/>
      <c r="Z158" s="153"/>
      <c r="AA158" s="153"/>
      <c r="AB158" s="151"/>
      <c r="AC158" s="153"/>
      <c r="AD158" s="153"/>
      <c r="AE158" s="52"/>
    </row>
    <row r="159" spans="1:31">
      <c r="A159" s="52"/>
      <c r="B159" s="148"/>
      <c r="C159" s="52"/>
      <c r="D159" s="52"/>
      <c r="E159" s="52"/>
      <c r="F159" s="149"/>
      <c r="G159" s="150"/>
      <c r="H159" s="52"/>
      <c r="I159" s="148"/>
      <c r="J159" s="52"/>
      <c r="K159" s="151"/>
      <c r="L159" s="52"/>
      <c r="M159" s="52"/>
      <c r="N159" s="52"/>
      <c r="O159" s="142" t="s">
        <v>399</v>
      </c>
      <c r="P159" s="143"/>
      <c r="Q159" s="143"/>
      <c r="R159" s="144"/>
      <c r="S159" s="154" t="s">
        <v>400</v>
      </c>
      <c r="T159" s="146"/>
      <c r="U159" s="147">
        <f t="shared" si="4"/>
        <v>0</v>
      </c>
      <c r="V159" s="147">
        <f t="shared" si="5"/>
        <v>0</v>
      </c>
      <c r="W159" s="152"/>
      <c r="X159" s="151"/>
      <c r="Y159" s="151"/>
      <c r="Z159" s="153"/>
      <c r="AA159" s="153"/>
      <c r="AB159" s="151"/>
      <c r="AC159" s="153"/>
      <c r="AD159" s="153"/>
      <c r="AE159" s="52"/>
    </row>
    <row r="160" spans="1:31">
      <c r="A160" s="52"/>
      <c r="B160" s="148"/>
      <c r="C160" s="52"/>
      <c r="D160" s="52"/>
      <c r="E160" s="52"/>
      <c r="F160" s="149"/>
      <c r="G160" s="150"/>
      <c r="H160" s="52"/>
      <c r="I160" s="148"/>
      <c r="J160" s="52"/>
      <c r="K160" s="151"/>
      <c r="L160" s="52"/>
      <c r="M160" s="52"/>
      <c r="N160" s="52"/>
      <c r="O160" s="142" t="s">
        <v>401</v>
      </c>
      <c r="P160" s="143"/>
      <c r="Q160" s="143"/>
      <c r="R160" s="144"/>
      <c r="S160" s="154" t="s">
        <v>402</v>
      </c>
      <c r="T160" s="146"/>
      <c r="U160" s="147">
        <f t="shared" si="4"/>
        <v>0</v>
      </c>
      <c r="V160" s="147">
        <f t="shared" si="5"/>
        <v>0</v>
      </c>
      <c r="W160" s="152"/>
      <c r="X160" s="151"/>
      <c r="Y160" s="151"/>
      <c r="Z160" s="153"/>
      <c r="AA160" s="153"/>
      <c r="AB160" s="151"/>
      <c r="AC160" s="153"/>
      <c r="AD160" s="153"/>
      <c r="AE160" s="52"/>
    </row>
    <row r="161" spans="1:31">
      <c r="A161" s="52"/>
      <c r="B161" s="148"/>
      <c r="C161" s="52"/>
      <c r="D161" s="52"/>
      <c r="E161" s="52"/>
      <c r="F161" s="149"/>
      <c r="G161" s="150"/>
      <c r="H161" s="52"/>
      <c r="I161" s="148"/>
      <c r="J161" s="52"/>
      <c r="K161" s="151"/>
      <c r="L161" s="52"/>
      <c r="M161" s="52"/>
      <c r="N161" s="52"/>
      <c r="O161" s="142" t="s">
        <v>403</v>
      </c>
      <c r="P161" s="143"/>
      <c r="Q161" s="143"/>
      <c r="R161" s="144"/>
      <c r="S161" s="154" t="s">
        <v>404</v>
      </c>
      <c r="T161" s="146"/>
      <c r="U161" s="147">
        <f t="shared" si="4"/>
        <v>0</v>
      </c>
      <c r="V161" s="147">
        <f t="shared" si="5"/>
        <v>0</v>
      </c>
      <c r="W161" s="152"/>
      <c r="X161" s="151"/>
      <c r="Y161" s="151"/>
      <c r="Z161" s="153"/>
      <c r="AA161" s="153"/>
      <c r="AB161" s="151"/>
      <c r="AC161" s="153"/>
      <c r="AD161" s="153"/>
      <c r="AE161" s="29"/>
    </row>
    <row r="162" spans="1:31">
      <c r="A162" s="52"/>
      <c r="B162" s="148"/>
      <c r="C162" s="52"/>
      <c r="D162" s="52"/>
      <c r="E162" s="52"/>
      <c r="F162" s="149"/>
      <c r="G162" s="150"/>
      <c r="H162" s="52"/>
      <c r="I162" s="148"/>
      <c r="J162" s="52"/>
      <c r="K162" s="151"/>
      <c r="L162" s="52"/>
      <c r="M162" s="52"/>
      <c r="N162" s="52"/>
      <c r="O162" s="142" t="s">
        <v>405</v>
      </c>
      <c r="P162" s="143"/>
      <c r="Q162" s="143"/>
      <c r="R162" s="144"/>
      <c r="S162" s="154" t="s">
        <v>406</v>
      </c>
      <c r="T162" s="146"/>
      <c r="U162" s="147">
        <f t="shared" si="4"/>
        <v>0</v>
      </c>
      <c r="V162" s="147">
        <f t="shared" si="5"/>
        <v>0</v>
      </c>
      <c r="W162" s="152"/>
      <c r="X162" s="151"/>
      <c r="Y162" s="151"/>
      <c r="Z162" s="153"/>
      <c r="AA162" s="153"/>
      <c r="AB162" s="151"/>
      <c r="AC162" s="153"/>
      <c r="AD162" s="153"/>
      <c r="AE162" s="135"/>
    </row>
    <row r="163" spans="1:31">
      <c r="A163" s="52"/>
      <c r="B163" s="148"/>
      <c r="C163" s="52"/>
      <c r="D163" s="52"/>
      <c r="E163" s="52"/>
      <c r="F163" s="149"/>
      <c r="G163" s="150"/>
      <c r="H163" s="52"/>
      <c r="I163" s="148"/>
      <c r="J163" s="52"/>
      <c r="K163" s="151"/>
      <c r="L163" s="52"/>
      <c r="M163" s="52"/>
      <c r="N163" s="52"/>
      <c r="O163" s="142" t="s">
        <v>407</v>
      </c>
      <c r="P163" s="143"/>
      <c r="Q163" s="143"/>
      <c r="R163" s="144"/>
      <c r="S163" s="154" t="s">
        <v>408</v>
      </c>
      <c r="T163" s="146"/>
      <c r="U163" s="147">
        <f t="shared" si="4"/>
        <v>0</v>
      </c>
      <c r="V163" s="147">
        <f t="shared" si="5"/>
        <v>0</v>
      </c>
      <c r="W163" s="152"/>
      <c r="X163" s="151"/>
      <c r="Y163" s="151"/>
      <c r="Z163" s="153"/>
      <c r="AA163" s="153"/>
      <c r="AB163" s="151"/>
      <c r="AC163" s="153"/>
      <c r="AD163" s="153"/>
      <c r="AE163" s="52"/>
    </row>
    <row r="164" spans="1:31">
      <c r="A164" s="52"/>
      <c r="B164" s="148"/>
      <c r="C164" s="52"/>
      <c r="D164" s="52"/>
      <c r="E164" s="52"/>
      <c r="F164" s="149"/>
      <c r="G164" s="150"/>
      <c r="H164" s="52"/>
      <c r="I164" s="148"/>
      <c r="J164" s="52"/>
      <c r="K164" s="151"/>
      <c r="L164" s="52"/>
      <c r="M164" s="52"/>
      <c r="N164" s="52"/>
      <c r="O164" s="142" t="s">
        <v>409</v>
      </c>
      <c r="P164" s="143"/>
      <c r="Q164" s="143"/>
      <c r="R164" s="144"/>
      <c r="S164" s="154" t="s">
        <v>410</v>
      </c>
      <c r="T164" s="146"/>
      <c r="U164" s="147">
        <f t="shared" ref="U164:U186" si="6">R164*0.935</f>
        <v>0</v>
      </c>
      <c r="V164" s="147">
        <f t="shared" ref="V164:V186" si="7">U164/215</f>
        <v>0</v>
      </c>
      <c r="W164" s="152"/>
      <c r="X164" s="151"/>
      <c r="Y164" s="151"/>
      <c r="Z164" s="153"/>
      <c r="AA164" s="153"/>
      <c r="AB164" s="151"/>
      <c r="AC164" s="153"/>
      <c r="AD164" s="153"/>
      <c r="AE164" s="52"/>
    </row>
    <row r="165" spans="1:31">
      <c r="A165" s="52"/>
      <c r="B165" s="148"/>
      <c r="C165" s="52"/>
      <c r="D165" s="52"/>
      <c r="E165" s="52"/>
      <c r="F165" s="149"/>
      <c r="G165" s="150"/>
      <c r="H165" s="52"/>
      <c r="I165" s="148"/>
      <c r="J165" s="52"/>
      <c r="K165" s="151"/>
      <c r="L165" s="52"/>
      <c r="M165" s="52"/>
      <c r="N165" s="52"/>
      <c r="O165" s="142" t="s">
        <v>411</v>
      </c>
      <c r="P165" s="143"/>
      <c r="Q165" s="143"/>
      <c r="R165" s="144"/>
      <c r="S165" s="154" t="s">
        <v>412</v>
      </c>
      <c r="T165" s="146"/>
      <c r="U165" s="147">
        <f t="shared" si="6"/>
        <v>0</v>
      </c>
      <c r="V165" s="147">
        <f t="shared" si="7"/>
        <v>0</v>
      </c>
      <c r="W165" s="152"/>
      <c r="X165" s="151"/>
      <c r="Y165" s="151"/>
      <c r="Z165" s="153"/>
      <c r="AA165" s="153"/>
      <c r="AB165" s="151"/>
      <c r="AC165" s="153"/>
      <c r="AD165" s="153"/>
      <c r="AE165" s="52"/>
    </row>
    <row r="166" spans="1:31">
      <c r="A166" s="52"/>
      <c r="B166" s="148"/>
      <c r="C166" s="52"/>
      <c r="D166" s="29"/>
      <c r="E166" s="52"/>
      <c r="F166" s="92"/>
      <c r="G166" s="94"/>
      <c r="H166" s="52"/>
      <c r="I166" s="157"/>
      <c r="J166" s="52"/>
      <c r="K166" s="151"/>
      <c r="L166" s="52"/>
      <c r="M166" s="52"/>
      <c r="N166" s="52"/>
      <c r="O166" s="159" t="s">
        <v>413</v>
      </c>
      <c r="P166" s="135"/>
      <c r="Q166" s="135"/>
      <c r="R166" s="160"/>
      <c r="S166" s="161" t="s">
        <v>414</v>
      </c>
      <c r="T166" s="162"/>
      <c r="U166" s="147">
        <f t="shared" si="6"/>
        <v>0</v>
      </c>
      <c r="V166" s="147">
        <f t="shared" si="7"/>
        <v>0</v>
      </c>
      <c r="W166" s="152"/>
      <c r="X166" s="151"/>
      <c r="Y166" s="151"/>
      <c r="Z166" s="153"/>
      <c r="AA166" s="153"/>
      <c r="AB166" s="151"/>
      <c r="AC166" s="153"/>
      <c r="AD166" s="153"/>
      <c r="AE166" s="52"/>
    </row>
    <row r="167" spans="1:31">
      <c r="A167" s="135" t="s">
        <v>415</v>
      </c>
      <c r="B167" s="136" t="s">
        <v>416</v>
      </c>
      <c r="C167" s="135" t="s">
        <v>193</v>
      </c>
      <c r="D167" s="137"/>
      <c r="E167" s="135"/>
      <c r="F167" s="138">
        <f>E167/3150</f>
        <v>0</v>
      </c>
      <c r="G167" s="91"/>
      <c r="H167" s="139" t="s">
        <v>194</v>
      </c>
      <c r="I167" s="158" t="s">
        <v>417</v>
      </c>
      <c r="J167" s="135"/>
      <c r="K167" s="141">
        <f>J167/300</f>
        <v>0</v>
      </c>
      <c r="L167" s="135" t="s">
        <v>193</v>
      </c>
      <c r="M167" s="135"/>
      <c r="N167" s="135"/>
      <c r="O167" s="142" t="s">
        <v>418</v>
      </c>
      <c r="P167" s="143"/>
      <c r="Q167" s="143"/>
      <c r="R167" s="163"/>
      <c r="S167" s="145" t="s">
        <v>419</v>
      </c>
      <c r="T167" s="146"/>
      <c r="U167" s="147">
        <f t="shared" si="6"/>
        <v>0</v>
      </c>
      <c r="V167" s="147">
        <f t="shared" si="7"/>
        <v>0</v>
      </c>
      <c r="W167" s="117">
        <v>401</v>
      </c>
      <c r="X167" s="147">
        <f>SUM(U167:U186)</f>
        <v>0</v>
      </c>
      <c r="Y167" s="147">
        <f>X167/2350</f>
        <v>0</v>
      </c>
      <c r="Z167" s="143">
        <v>170</v>
      </c>
      <c r="AA167" s="143">
        <v>0</v>
      </c>
      <c r="AB167" s="147">
        <f>AA167/Z167</f>
        <v>0</v>
      </c>
      <c r="AC167" s="143">
        <v>8</v>
      </c>
      <c r="AD167" s="143">
        <v>12</v>
      </c>
      <c r="AE167" s="135" t="s">
        <v>198</v>
      </c>
    </row>
    <row r="168" spans="1:31">
      <c r="A168" s="52"/>
      <c r="B168" s="148"/>
      <c r="C168" s="52"/>
      <c r="D168" s="52"/>
      <c r="E168" s="52"/>
      <c r="F168" s="149"/>
      <c r="G168" s="150"/>
      <c r="H168" s="52"/>
      <c r="I168" s="148"/>
      <c r="J168" s="52"/>
      <c r="K168" s="151"/>
      <c r="L168" s="52"/>
      <c r="M168" s="52"/>
      <c r="N168" s="52"/>
      <c r="O168" s="142" t="s">
        <v>420</v>
      </c>
      <c r="P168" s="143"/>
      <c r="Q168" s="143"/>
      <c r="R168" s="163"/>
      <c r="S168" s="145" t="s">
        <v>421</v>
      </c>
      <c r="T168" s="146"/>
      <c r="U168" s="147">
        <f t="shared" si="6"/>
        <v>0</v>
      </c>
      <c r="V168" s="147">
        <f t="shared" si="7"/>
        <v>0</v>
      </c>
      <c r="W168" s="117"/>
      <c r="X168" s="164"/>
      <c r="Y168" s="164"/>
      <c r="Z168" s="143"/>
      <c r="AA168" s="143"/>
      <c r="AB168" s="164"/>
      <c r="AC168" s="143"/>
      <c r="AD168" s="143"/>
      <c r="AE168" s="52"/>
    </row>
    <row r="169" spans="1:31">
      <c r="A169" s="52"/>
      <c r="B169" s="148"/>
      <c r="C169" s="52"/>
      <c r="D169" s="52"/>
      <c r="E169" s="52"/>
      <c r="F169" s="149"/>
      <c r="G169" s="150"/>
      <c r="H169" s="52"/>
      <c r="I169" s="148"/>
      <c r="J169" s="52"/>
      <c r="K169" s="151"/>
      <c r="L169" s="52"/>
      <c r="M169" s="52"/>
      <c r="N169" s="52"/>
      <c r="O169" s="142" t="s">
        <v>422</v>
      </c>
      <c r="P169" s="143"/>
      <c r="Q169" s="143"/>
      <c r="R169" s="163"/>
      <c r="S169" s="145" t="s">
        <v>423</v>
      </c>
      <c r="T169" s="146"/>
      <c r="U169" s="147">
        <f t="shared" si="6"/>
        <v>0</v>
      </c>
      <c r="V169" s="147">
        <f t="shared" si="7"/>
        <v>0</v>
      </c>
      <c r="W169" s="117"/>
      <c r="X169" s="164"/>
      <c r="Y169" s="164"/>
      <c r="Z169" s="143"/>
      <c r="AA169" s="143"/>
      <c r="AB169" s="164"/>
      <c r="AC169" s="143"/>
      <c r="AD169" s="143"/>
      <c r="AE169" s="52"/>
    </row>
    <row r="170" spans="1:31">
      <c r="A170" s="52"/>
      <c r="B170" s="148"/>
      <c r="C170" s="52"/>
      <c r="D170" s="52"/>
      <c r="E170" s="52"/>
      <c r="F170" s="149"/>
      <c r="G170" s="150"/>
      <c r="H170" s="52"/>
      <c r="I170" s="148"/>
      <c r="J170" s="52"/>
      <c r="K170" s="151"/>
      <c r="L170" s="52"/>
      <c r="M170" s="52"/>
      <c r="N170" s="52"/>
      <c r="O170" s="142" t="s">
        <v>424</v>
      </c>
      <c r="P170" s="143"/>
      <c r="Q170" s="143"/>
      <c r="R170" s="163"/>
      <c r="S170" s="145" t="s">
        <v>425</v>
      </c>
      <c r="T170" s="146"/>
      <c r="U170" s="147">
        <f t="shared" si="6"/>
        <v>0</v>
      </c>
      <c r="V170" s="147">
        <f t="shared" si="7"/>
        <v>0</v>
      </c>
      <c r="W170" s="117"/>
      <c r="X170" s="164"/>
      <c r="Y170" s="164"/>
      <c r="Z170" s="143"/>
      <c r="AA170" s="143"/>
      <c r="AB170" s="164"/>
      <c r="AC170" s="143"/>
      <c r="AD170" s="143"/>
      <c r="AE170" s="52"/>
    </row>
    <row r="171" spans="1:31">
      <c r="A171" s="52"/>
      <c r="B171" s="148"/>
      <c r="C171" s="52"/>
      <c r="D171" s="52"/>
      <c r="E171" s="52"/>
      <c r="F171" s="149"/>
      <c r="G171" s="150"/>
      <c r="H171" s="52"/>
      <c r="I171" s="148"/>
      <c r="J171" s="52"/>
      <c r="K171" s="151"/>
      <c r="L171" s="52"/>
      <c r="M171" s="52"/>
      <c r="N171" s="52"/>
      <c r="O171" s="142" t="s">
        <v>426</v>
      </c>
      <c r="P171" s="143"/>
      <c r="Q171" s="143"/>
      <c r="R171" s="163"/>
      <c r="S171" s="145" t="s">
        <v>427</v>
      </c>
      <c r="T171" s="146"/>
      <c r="U171" s="147">
        <f t="shared" si="6"/>
        <v>0</v>
      </c>
      <c r="V171" s="147">
        <f t="shared" si="7"/>
        <v>0</v>
      </c>
      <c r="W171" s="117"/>
      <c r="X171" s="164"/>
      <c r="Y171" s="164"/>
      <c r="Z171" s="143"/>
      <c r="AA171" s="143"/>
      <c r="AB171" s="164"/>
      <c r="AC171" s="143"/>
      <c r="AD171" s="143"/>
      <c r="AE171" s="52"/>
    </row>
    <row r="172" spans="1:31">
      <c r="A172" s="52"/>
      <c r="B172" s="148"/>
      <c r="C172" s="52"/>
      <c r="D172" s="52"/>
      <c r="E172" s="52"/>
      <c r="F172" s="149"/>
      <c r="G172" s="150"/>
      <c r="H172" s="52"/>
      <c r="I172" s="148"/>
      <c r="J172" s="52"/>
      <c r="K172" s="151"/>
      <c r="L172" s="52"/>
      <c r="M172" s="52"/>
      <c r="N172" s="52"/>
      <c r="O172" s="142" t="s">
        <v>428</v>
      </c>
      <c r="P172" s="143"/>
      <c r="Q172" s="143"/>
      <c r="R172" s="163"/>
      <c r="S172" s="145" t="s">
        <v>429</v>
      </c>
      <c r="T172" s="146"/>
      <c r="U172" s="147">
        <f t="shared" si="6"/>
        <v>0</v>
      </c>
      <c r="V172" s="147">
        <f t="shared" si="7"/>
        <v>0</v>
      </c>
      <c r="W172" s="117"/>
      <c r="X172" s="164"/>
      <c r="Y172" s="164"/>
      <c r="Z172" s="143"/>
      <c r="AA172" s="143"/>
      <c r="AB172" s="164"/>
      <c r="AC172" s="143"/>
      <c r="AD172" s="143"/>
      <c r="AE172" s="143"/>
    </row>
    <row r="173" spans="1:31">
      <c r="A173" s="52"/>
      <c r="B173" s="148"/>
      <c r="C173" s="52"/>
      <c r="D173" s="52"/>
      <c r="E173" s="52"/>
      <c r="F173" s="149"/>
      <c r="G173" s="150"/>
      <c r="H173" s="52"/>
      <c r="I173" s="148"/>
      <c r="J173" s="52"/>
      <c r="K173" s="151"/>
      <c r="L173" s="52"/>
      <c r="M173" s="52"/>
      <c r="N173" s="52"/>
      <c r="O173" s="142" t="s">
        <v>430</v>
      </c>
      <c r="P173" s="143"/>
      <c r="Q173" s="143"/>
      <c r="R173" s="163"/>
      <c r="S173" s="145" t="s">
        <v>431</v>
      </c>
      <c r="T173" s="146"/>
      <c r="U173" s="147">
        <f t="shared" si="6"/>
        <v>0</v>
      </c>
      <c r="V173" s="147">
        <f t="shared" si="7"/>
        <v>0</v>
      </c>
      <c r="W173" s="117"/>
      <c r="X173" s="164"/>
      <c r="Y173" s="164"/>
      <c r="Z173" s="143"/>
      <c r="AA173" s="143"/>
      <c r="AB173" s="164"/>
      <c r="AC173" s="143"/>
      <c r="AD173" s="143"/>
      <c r="AE173" s="52"/>
    </row>
    <row r="174" spans="1:31">
      <c r="A174" s="52"/>
      <c r="B174" s="148"/>
      <c r="C174" s="52"/>
      <c r="D174" s="52"/>
      <c r="E174" s="52"/>
      <c r="F174" s="149"/>
      <c r="G174" s="150"/>
      <c r="H174" s="52"/>
      <c r="I174" s="148"/>
      <c r="J174" s="52"/>
      <c r="K174" s="151"/>
      <c r="L174" s="52"/>
      <c r="M174" s="52"/>
      <c r="N174" s="52"/>
      <c r="O174" s="142" t="s">
        <v>432</v>
      </c>
      <c r="P174" s="143"/>
      <c r="Q174" s="143"/>
      <c r="R174" s="163"/>
      <c r="S174" s="145" t="s">
        <v>433</v>
      </c>
      <c r="T174" s="146"/>
      <c r="U174" s="147">
        <f t="shared" si="6"/>
        <v>0</v>
      </c>
      <c r="V174" s="147">
        <f t="shared" si="7"/>
        <v>0</v>
      </c>
      <c r="W174" s="117"/>
      <c r="X174" s="164"/>
      <c r="Y174" s="164"/>
      <c r="Z174" s="143"/>
      <c r="AA174" s="143"/>
      <c r="AB174" s="164"/>
      <c r="AC174" s="143"/>
      <c r="AD174" s="143"/>
      <c r="AE174" s="52"/>
    </row>
    <row r="175" spans="1:31">
      <c r="A175" s="52"/>
      <c r="B175" s="148"/>
      <c r="C175" s="52"/>
      <c r="D175" s="52"/>
      <c r="E175" s="52"/>
      <c r="F175" s="149"/>
      <c r="G175" s="150"/>
      <c r="H175" s="52"/>
      <c r="I175" s="148"/>
      <c r="J175" s="52"/>
      <c r="K175" s="151"/>
      <c r="L175" s="52"/>
      <c r="M175" s="52"/>
      <c r="N175" s="52"/>
      <c r="O175" s="142" t="s">
        <v>434</v>
      </c>
      <c r="P175" s="143"/>
      <c r="Q175" s="143"/>
      <c r="R175" s="163"/>
      <c r="S175" s="145" t="s">
        <v>435</v>
      </c>
      <c r="T175" s="146"/>
      <c r="U175" s="147">
        <f t="shared" si="6"/>
        <v>0</v>
      </c>
      <c r="V175" s="147">
        <f t="shared" si="7"/>
        <v>0</v>
      </c>
      <c r="W175" s="117"/>
      <c r="X175" s="164"/>
      <c r="Y175" s="164"/>
      <c r="Z175" s="143"/>
      <c r="AA175" s="143"/>
      <c r="AB175" s="164"/>
      <c r="AC175" s="143"/>
      <c r="AD175" s="143"/>
      <c r="AE175" s="52"/>
    </row>
    <row r="176" spans="1:31">
      <c r="A176" s="52"/>
      <c r="B176" s="148"/>
      <c r="C176" s="52"/>
      <c r="D176" s="29"/>
      <c r="E176" s="52"/>
      <c r="F176" s="92"/>
      <c r="G176" s="94"/>
      <c r="H176" s="52"/>
      <c r="I176" s="148"/>
      <c r="J176" s="52"/>
      <c r="K176" s="151"/>
      <c r="L176" s="52"/>
      <c r="M176" s="52"/>
      <c r="N176" s="52"/>
      <c r="O176" s="142" t="s">
        <v>436</v>
      </c>
      <c r="P176" s="143"/>
      <c r="Q176" s="143"/>
      <c r="R176" s="163"/>
      <c r="S176" s="145" t="s">
        <v>437</v>
      </c>
      <c r="T176" s="146"/>
      <c r="U176" s="147">
        <f t="shared" si="6"/>
        <v>0</v>
      </c>
      <c r="V176" s="147">
        <f t="shared" si="7"/>
        <v>0</v>
      </c>
      <c r="W176" s="117"/>
      <c r="X176" s="164"/>
      <c r="Y176" s="164"/>
      <c r="Z176" s="143"/>
      <c r="AA176" s="143"/>
      <c r="AB176" s="164"/>
      <c r="AC176" s="143"/>
      <c r="AD176" s="143"/>
      <c r="AE176" s="29"/>
    </row>
    <row r="177" spans="1:31">
      <c r="A177" s="52"/>
      <c r="B177" s="136" t="s">
        <v>438</v>
      </c>
      <c r="C177" s="135" t="s">
        <v>193</v>
      </c>
      <c r="D177" s="137"/>
      <c r="E177" s="135"/>
      <c r="F177" s="138">
        <f>E177/3150</f>
        <v>0</v>
      </c>
      <c r="G177" s="91"/>
      <c r="H177" s="139" t="s">
        <v>194</v>
      </c>
      <c r="I177" s="148"/>
      <c r="J177" s="52"/>
      <c r="K177" s="151"/>
      <c r="L177" s="52"/>
      <c r="M177" s="52"/>
      <c r="N177" s="52"/>
      <c r="O177" s="142" t="s">
        <v>439</v>
      </c>
      <c r="P177" s="143"/>
      <c r="Q177" s="143"/>
      <c r="R177" s="163"/>
      <c r="S177" s="154" t="s">
        <v>440</v>
      </c>
      <c r="T177" s="146"/>
      <c r="U177" s="147">
        <f t="shared" si="6"/>
        <v>0</v>
      </c>
      <c r="V177" s="147">
        <f t="shared" si="7"/>
        <v>0</v>
      </c>
      <c r="W177" s="117"/>
      <c r="X177" s="164"/>
      <c r="Y177" s="164"/>
      <c r="Z177" s="143"/>
      <c r="AA177" s="143"/>
      <c r="AB177" s="164"/>
      <c r="AC177" s="143"/>
      <c r="AD177" s="143"/>
      <c r="AE177" s="143" t="s">
        <v>220</v>
      </c>
    </row>
    <row r="178" spans="1:31">
      <c r="A178" s="52"/>
      <c r="B178" s="148"/>
      <c r="C178" s="52"/>
      <c r="D178" s="52"/>
      <c r="E178" s="52"/>
      <c r="F178" s="149"/>
      <c r="G178" s="150"/>
      <c r="H178" s="52"/>
      <c r="I178" s="148"/>
      <c r="J178" s="52"/>
      <c r="K178" s="151"/>
      <c r="L178" s="52"/>
      <c r="M178" s="52"/>
      <c r="N178" s="52"/>
      <c r="O178" s="142" t="s">
        <v>441</v>
      </c>
      <c r="P178" s="143"/>
      <c r="Q178" s="143"/>
      <c r="R178" s="163"/>
      <c r="S178" s="154" t="s">
        <v>442</v>
      </c>
      <c r="T178" s="146"/>
      <c r="U178" s="147">
        <f t="shared" si="6"/>
        <v>0</v>
      </c>
      <c r="V178" s="147">
        <f t="shared" si="7"/>
        <v>0</v>
      </c>
      <c r="W178" s="117"/>
      <c r="X178" s="164"/>
      <c r="Y178" s="164"/>
      <c r="Z178" s="143"/>
      <c r="AA178" s="143"/>
      <c r="AB178" s="164"/>
      <c r="AC178" s="143"/>
      <c r="AD178" s="143"/>
      <c r="AE178" s="52"/>
    </row>
    <row r="179" spans="1:31">
      <c r="A179" s="52"/>
      <c r="B179" s="148"/>
      <c r="C179" s="52"/>
      <c r="D179" s="52"/>
      <c r="E179" s="52"/>
      <c r="F179" s="149"/>
      <c r="G179" s="150"/>
      <c r="H179" s="52"/>
      <c r="I179" s="148"/>
      <c r="J179" s="52"/>
      <c r="K179" s="151"/>
      <c r="L179" s="52"/>
      <c r="M179" s="52"/>
      <c r="N179" s="52"/>
      <c r="O179" s="142" t="s">
        <v>443</v>
      </c>
      <c r="P179" s="143"/>
      <c r="Q179" s="143"/>
      <c r="R179" s="163"/>
      <c r="S179" s="154" t="s">
        <v>444</v>
      </c>
      <c r="T179" s="146"/>
      <c r="U179" s="147">
        <f t="shared" si="6"/>
        <v>0</v>
      </c>
      <c r="V179" s="147">
        <f t="shared" si="7"/>
        <v>0</v>
      </c>
      <c r="W179" s="117"/>
      <c r="X179" s="164"/>
      <c r="Y179" s="164"/>
      <c r="Z179" s="143"/>
      <c r="AA179" s="143"/>
      <c r="AB179" s="164"/>
      <c r="AC179" s="143"/>
      <c r="AD179" s="143"/>
      <c r="AE179" s="52"/>
    </row>
    <row r="180" spans="1:31">
      <c r="A180" s="52"/>
      <c r="B180" s="148"/>
      <c r="C180" s="52"/>
      <c r="D180" s="52"/>
      <c r="E180" s="52"/>
      <c r="F180" s="149"/>
      <c r="G180" s="150"/>
      <c r="H180" s="52"/>
      <c r="I180" s="148"/>
      <c r="J180" s="52"/>
      <c r="K180" s="151"/>
      <c r="L180" s="52"/>
      <c r="M180" s="52"/>
      <c r="N180" s="52"/>
      <c r="O180" s="142" t="s">
        <v>445</v>
      </c>
      <c r="P180" s="143"/>
      <c r="Q180" s="143"/>
      <c r="R180" s="163"/>
      <c r="S180" s="154" t="s">
        <v>446</v>
      </c>
      <c r="T180" s="146"/>
      <c r="U180" s="147">
        <f t="shared" si="6"/>
        <v>0</v>
      </c>
      <c r="V180" s="147">
        <f t="shared" si="7"/>
        <v>0</v>
      </c>
      <c r="W180" s="117"/>
      <c r="X180" s="164"/>
      <c r="Y180" s="164"/>
      <c r="Z180" s="143"/>
      <c r="AA180" s="143"/>
      <c r="AB180" s="164"/>
      <c r="AC180" s="143"/>
      <c r="AD180" s="143"/>
      <c r="AE180" s="52"/>
    </row>
    <row r="181" spans="1:31">
      <c r="A181" s="52"/>
      <c r="B181" s="148"/>
      <c r="C181" s="52"/>
      <c r="D181" s="52"/>
      <c r="E181" s="52"/>
      <c r="F181" s="149"/>
      <c r="G181" s="150"/>
      <c r="H181" s="52"/>
      <c r="I181" s="148"/>
      <c r="J181" s="52"/>
      <c r="K181" s="151"/>
      <c r="L181" s="52"/>
      <c r="M181" s="52"/>
      <c r="N181" s="52"/>
      <c r="O181" s="142" t="s">
        <v>447</v>
      </c>
      <c r="P181" s="143"/>
      <c r="Q181" s="143"/>
      <c r="R181" s="163"/>
      <c r="S181" s="154" t="s">
        <v>448</v>
      </c>
      <c r="T181" s="146"/>
      <c r="U181" s="147">
        <f t="shared" si="6"/>
        <v>0</v>
      </c>
      <c r="V181" s="147">
        <f t="shared" si="7"/>
        <v>0</v>
      </c>
      <c r="W181" s="117"/>
      <c r="X181" s="164"/>
      <c r="Y181" s="164"/>
      <c r="Z181" s="143"/>
      <c r="AA181" s="143"/>
      <c r="AB181" s="164"/>
      <c r="AC181" s="143"/>
      <c r="AD181" s="143"/>
      <c r="AE181" s="29"/>
    </row>
    <row r="182" spans="1:31">
      <c r="A182" s="52"/>
      <c r="B182" s="148"/>
      <c r="C182" s="52"/>
      <c r="D182" s="52"/>
      <c r="E182" s="52"/>
      <c r="F182" s="149"/>
      <c r="G182" s="150"/>
      <c r="H182" s="52"/>
      <c r="I182" s="148"/>
      <c r="J182" s="52"/>
      <c r="K182" s="151"/>
      <c r="L182" s="52"/>
      <c r="M182" s="52"/>
      <c r="N182" s="52"/>
      <c r="O182" s="142" t="s">
        <v>449</v>
      </c>
      <c r="P182" s="143"/>
      <c r="Q182" s="143"/>
      <c r="R182" s="163"/>
      <c r="S182" s="154" t="s">
        <v>450</v>
      </c>
      <c r="T182" s="146"/>
      <c r="U182" s="147">
        <f t="shared" si="6"/>
        <v>0</v>
      </c>
      <c r="V182" s="147">
        <f t="shared" si="7"/>
        <v>0</v>
      </c>
      <c r="W182" s="117"/>
      <c r="X182" s="164"/>
      <c r="Y182" s="164"/>
      <c r="Z182" s="143"/>
      <c r="AA182" s="143"/>
      <c r="AB182" s="164"/>
      <c r="AC182" s="143"/>
      <c r="AD182" s="143"/>
      <c r="AE182" s="143"/>
    </row>
    <row r="183" spans="1:31">
      <c r="A183" s="52"/>
      <c r="B183" s="148"/>
      <c r="C183" s="52"/>
      <c r="D183" s="52"/>
      <c r="E183" s="52"/>
      <c r="F183" s="149"/>
      <c r="G183" s="150"/>
      <c r="H183" s="52"/>
      <c r="I183" s="148"/>
      <c r="J183" s="52"/>
      <c r="K183" s="151"/>
      <c r="L183" s="52"/>
      <c r="M183" s="52"/>
      <c r="N183" s="52"/>
      <c r="O183" s="142" t="s">
        <v>451</v>
      </c>
      <c r="P183" s="143"/>
      <c r="Q183" s="143"/>
      <c r="R183" s="163"/>
      <c r="S183" s="154" t="s">
        <v>452</v>
      </c>
      <c r="T183" s="146"/>
      <c r="U183" s="147">
        <f t="shared" si="6"/>
        <v>0</v>
      </c>
      <c r="V183" s="147">
        <f t="shared" si="7"/>
        <v>0</v>
      </c>
      <c r="W183" s="117"/>
      <c r="X183" s="164"/>
      <c r="Y183" s="164"/>
      <c r="Z183" s="143"/>
      <c r="AA183" s="143"/>
      <c r="AB183" s="164"/>
      <c r="AC183" s="143"/>
      <c r="AD183" s="143"/>
      <c r="AE183" s="52"/>
    </row>
    <row r="184" spans="1:31">
      <c r="A184" s="52"/>
      <c r="B184" s="148"/>
      <c r="C184" s="52"/>
      <c r="D184" s="52"/>
      <c r="E184" s="52"/>
      <c r="F184" s="149"/>
      <c r="G184" s="150"/>
      <c r="H184" s="52"/>
      <c r="I184" s="148"/>
      <c r="J184" s="52"/>
      <c r="K184" s="151"/>
      <c r="L184" s="52"/>
      <c r="M184" s="52"/>
      <c r="N184" s="52"/>
      <c r="O184" s="142" t="s">
        <v>453</v>
      </c>
      <c r="P184" s="143"/>
      <c r="Q184" s="143"/>
      <c r="R184" s="163"/>
      <c r="S184" s="154" t="s">
        <v>454</v>
      </c>
      <c r="T184" s="146"/>
      <c r="U184" s="147">
        <f t="shared" si="6"/>
        <v>0</v>
      </c>
      <c r="V184" s="147">
        <f t="shared" si="7"/>
        <v>0</v>
      </c>
      <c r="W184" s="117"/>
      <c r="X184" s="164"/>
      <c r="Y184" s="164"/>
      <c r="Z184" s="143"/>
      <c r="AA184" s="143"/>
      <c r="AB184" s="164"/>
      <c r="AC184" s="143"/>
      <c r="AD184" s="143"/>
      <c r="AE184" s="52"/>
    </row>
    <row r="185" spans="1:31">
      <c r="A185" s="52"/>
      <c r="B185" s="148"/>
      <c r="C185" s="52"/>
      <c r="D185" s="52"/>
      <c r="E185" s="52"/>
      <c r="F185" s="149"/>
      <c r="G185" s="150"/>
      <c r="H185" s="52"/>
      <c r="I185" s="148"/>
      <c r="J185" s="52"/>
      <c r="K185" s="151"/>
      <c r="L185" s="52"/>
      <c r="M185" s="52"/>
      <c r="N185" s="52"/>
      <c r="O185" s="142" t="s">
        <v>455</v>
      </c>
      <c r="P185" s="143"/>
      <c r="Q185" s="143"/>
      <c r="R185" s="163"/>
      <c r="S185" s="154" t="s">
        <v>456</v>
      </c>
      <c r="T185" s="146"/>
      <c r="U185" s="147">
        <f t="shared" si="6"/>
        <v>0</v>
      </c>
      <c r="V185" s="147">
        <f t="shared" si="7"/>
        <v>0</v>
      </c>
      <c r="W185" s="117"/>
      <c r="X185" s="164"/>
      <c r="Y185" s="164"/>
      <c r="Z185" s="143"/>
      <c r="AA185" s="143"/>
      <c r="AB185" s="164"/>
      <c r="AC185" s="143"/>
      <c r="AD185" s="143"/>
      <c r="AE185" s="52"/>
    </row>
    <row r="186" spans="1:31">
      <c r="A186" s="52"/>
      <c r="B186" s="148"/>
      <c r="C186" s="52"/>
      <c r="D186" s="29"/>
      <c r="E186" s="52"/>
      <c r="F186" s="92"/>
      <c r="G186" s="94"/>
      <c r="H186" s="52"/>
      <c r="I186" s="157"/>
      <c r="J186" s="52"/>
      <c r="K186" s="151"/>
      <c r="L186" s="52"/>
      <c r="M186" s="52"/>
      <c r="N186" s="52"/>
      <c r="O186" s="142" t="s">
        <v>457</v>
      </c>
      <c r="P186" s="143"/>
      <c r="Q186" s="143"/>
      <c r="R186" s="163"/>
      <c r="S186" s="154" t="s">
        <v>458</v>
      </c>
      <c r="T186" s="146"/>
      <c r="U186" s="147">
        <f t="shared" si="6"/>
        <v>0</v>
      </c>
      <c r="V186" s="147">
        <f t="shared" si="7"/>
        <v>0</v>
      </c>
      <c r="W186" s="117"/>
      <c r="X186" s="164"/>
      <c r="Y186" s="164"/>
      <c r="Z186" s="143"/>
      <c r="AA186" s="143"/>
      <c r="AB186" s="164"/>
      <c r="AC186" s="143"/>
      <c r="AD186" s="143"/>
      <c r="AE186" s="29"/>
    </row>
    <row r="187" ht="13.05" customHeight="1" spans="1:31">
      <c r="A187" s="143" t="s">
        <v>459</v>
      </c>
      <c r="B187" s="156" t="s">
        <v>460</v>
      </c>
      <c r="C187" s="143" t="s">
        <v>193</v>
      </c>
      <c r="D187" s="137"/>
      <c r="E187" s="135"/>
      <c r="F187" s="147">
        <f>E187/3150</f>
        <v>0</v>
      </c>
      <c r="G187" s="91"/>
      <c r="H187" s="117" t="s">
        <v>194</v>
      </c>
      <c r="I187" s="158" t="s">
        <v>461</v>
      </c>
      <c r="J187" s="165"/>
      <c r="K187" s="141">
        <f>J187/300</f>
        <v>0</v>
      </c>
      <c r="L187" s="135" t="s">
        <v>193</v>
      </c>
      <c r="M187" s="135"/>
      <c r="N187" s="143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</row>
    <row r="188" ht="13.05" customHeight="1" spans="1:31">
      <c r="A188" s="52"/>
      <c r="B188" s="148"/>
      <c r="C188" s="52"/>
      <c r="D188" s="52"/>
      <c r="E188" s="52"/>
      <c r="F188" s="149"/>
      <c r="G188" s="150"/>
      <c r="H188" s="52"/>
      <c r="I188" s="148"/>
      <c r="J188" s="52"/>
      <c r="K188" s="151"/>
      <c r="L188" s="52"/>
      <c r="M188" s="52"/>
      <c r="N188" s="52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</row>
    <row r="189" ht="13.05" customHeight="1" spans="1:31">
      <c r="A189" s="52"/>
      <c r="B189" s="148"/>
      <c r="C189" s="52"/>
      <c r="D189" s="52"/>
      <c r="E189" s="52"/>
      <c r="F189" s="149"/>
      <c r="G189" s="150"/>
      <c r="H189" s="52"/>
      <c r="I189" s="148"/>
      <c r="J189" s="52"/>
      <c r="K189" s="151"/>
      <c r="L189" s="52"/>
      <c r="M189" s="52"/>
      <c r="N189" s="52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</row>
    <row r="190" ht="13.05" customHeight="1" spans="1:31">
      <c r="A190" s="52"/>
      <c r="B190" s="148"/>
      <c r="C190" s="52"/>
      <c r="D190" s="52"/>
      <c r="E190" s="52"/>
      <c r="F190" s="149"/>
      <c r="G190" s="150"/>
      <c r="H190" s="52"/>
      <c r="I190" s="148"/>
      <c r="J190" s="52"/>
      <c r="K190" s="151"/>
      <c r="L190" s="52"/>
      <c r="M190" s="52"/>
      <c r="N190" s="52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</row>
    <row r="191" ht="13.05" customHeight="1" spans="1:31">
      <c r="A191" s="52"/>
      <c r="B191" s="157"/>
      <c r="C191" s="29"/>
      <c r="D191" s="29"/>
      <c r="E191" s="52"/>
      <c r="F191" s="92"/>
      <c r="G191" s="94"/>
      <c r="H191" s="29"/>
      <c r="I191" s="157"/>
      <c r="J191" s="167"/>
      <c r="K191" s="151"/>
      <c r="L191" s="52"/>
      <c r="M191" s="52"/>
      <c r="N191" s="29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</row>
    <row r="192" ht="13.05" customHeight="1" spans="1:31">
      <c r="A192" s="52"/>
      <c r="B192" s="156" t="s">
        <v>462</v>
      </c>
      <c r="C192" s="143" t="s">
        <v>193</v>
      </c>
      <c r="D192" s="137"/>
      <c r="E192" s="135"/>
      <c r="F192" s="147">
        <f>E192/3150</f>
        <v>0</v>
      </c>
      <c r="G192" s="91"/>
      <c r="H192" s="139" t="s">
        <v>194</v>
      </c>
      <c r="I192" s="140" t="s">
        <v>463</v>
      </c>
      <c r="J192" s="165"/>
      <c r="K192" s="141">
        <f>J192/300</f>
        <v>0</v>
      </c>
      <c r="L192" s="52"/>
      <c r="M192" s="135"/>
      <c r="N192" s="143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</row>
    <row r="193" ht="13.05" customHeight="1" spans="1:31">
      <c r="A193" s="52"/>
      <c r="B193" s="148"/>
      <c r="C193" s="52"/>
      <c r="D193" s="52"/>
      <c r="E193" s="52"/>
      <c r="F193" s="149"/>
      <c r="G193" s="150"/>
      <c r="H193" s="52"/>
      <c r="I193" s="148"/>
      <c r="J193" s="52"/>
      <c r="K193" s="151"/>
      <c r="L193" s="52"/>
      <c r="M193" s="52"/>
      <c r="N193" s="52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</row>
    <row r="194" ht="13.05" customHeight="1" spans="1:31">
      <c r="A194" s="52"/>
      <c r="B194" s="148"/>
      <c r="C194" s="52"/>
      <c r="D194" s="52"/>
      <c r="E194" s="52"/>
      <c r="F194" s="149"/>
      <c r="G194" s="150"/>
      <c r="H194" s="52"/>
      <c r="I194" s="148"/>
      <c r="J194" s="52"/>
      <c r="K194" s="151"/>
      <c r="L194" s="52"/>
      <c r="M194" s="52"/>
      <c r="N194" s="52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</row>
    <row r="195" ht="13.05" customHeight="1" spans="1:31">
      <c r="A195" s="52"/>
      <c r="B195" s="148"/>
      <c r="C195" s="52"/>
      <c r="D195" s="52"/>
      <c r="E195" s="52"/>
      <c r="F195" s="149"/>
      <c r="G195" s="150"/>
      <c r="H195" s="52"/>
      <c r="I195" s="148"/>
      <c r="J195" s="52"/>
      <c r="K195" s="151"/>
      <c r="L195" s="52"/>
      <c r="M195" s="52"/>
      <c r="N195" s="52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</row>
    <row r="196" ht="13.05" customHeight="1" spans="1:31">
      <c r="A196" s="29"/>
      <c r="B196" s="157"/>
      <c r="C196" s="29"/>
      <c r="D196" s="29"/>
      <c r="E196" s="52"/>
      <c r="F196" s="92"/>
      <c r="G196" s="94"/>
      <c r="H196" s="52"/>
      <c r="I196" s="148"/>
      <c r="J196" s="167"/>
      <c r="K196" s="151"/>
      <c r="L196" s="52"/>
      <c r="M196" s="52"/>
      <c r="N196" s="29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</row>
    <row r="197" ht="13.05" customHeight="1" spans="1:31">
      <c r="A197" s="143" t="s">
        <v>464</v>
      </c>
      <c r="B197" s="156" t="s">
        <v>465</v>
      </c>
      <c r="C197" s="143" t="s">
        <v>193</v>
      </c>
      <c r="D197" s="137"/>
      <c r="E197" s="135"/>
      <c r="F197" s="147">
        <f>E197/3150</f>
        <v>0</v>
      </c>
      <c r="G197" s="91"/>
      <c r="H197" s="117" t="s">
        <v>194</v>
      </c>
      <c r="I197" s="158" t="s">
        <v>466</v>
      </c>
      <c r="J197" s="165"/>
      <c r="K197" s="141">
        <f>J197/300</f>
        <v>0</v>
      </c>
      <c r="L197" s="143" t="s">
        <v>193</v>
      </c>
      <c r="M197" s="135"/>
      <c r="N197" s="143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</row>
    <row r="198" ht="13.05" customHeight="1" spans="1:31">
      <c r="A198" s="52"/>
      <c r="B198" s="148"/>
      <c r="C198" s="52"/>
      <c r="D198" s="52"/>
      <c r="E198" s="52"/>
      <c r="F198" s="149"/>
      <c r="G198" s="150"/>
      <c r="H198" s="52"/>
      <c r="I198" s="148"/>
      <c r="J198" s="52"/>
      <c r="K198" s="151"/>
      <c r="L198" s="52"/>
      <c r="M198" s="52"/>
      <c r="N198" s="52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</row>
    <row r="199" ht="13.05" customHeight="1" spans="1:31">
      <c r="A199" s="52"/>
      <c r="B199" s="148"/>
      <c r="C199" s="52"/>
      <c r="D199" s="52"/>
      <c r="E199" s="52"/>
      <c r="F199" s="149"/>
      <c r="G199" s="150"/>
      <c r="H199" s="52"/>
      <c r="I199" s="148"/>
      <c r="J199" s="52"/>
      <c r="K199" s="151"/>
      <c r="L199" s="52"/>
      <c r="M199" s="52"/>
      <c r="N199" s="52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</row>
    <row r="200" ht="13.05" customHeight="1" spans="1:31">
      <c r="A200" s="52"/>
      <c r="B200" s="148"/>
      <c r="C200" s="52"/>
      <c r="D200" s="52"/>
      <c r="E200" s="52"/>
      <c r="F200" s="149"/>
      <c r="G200" s="150"/>
      <c r="H200" s="52"/>
      <c r="I200" s="148"/>
      <c r="J200" s="52"/>
      <c r="K200" s="151"/>
      <c r="L200" s="52"/>
      <c r="M200" s="52"/>
      <c r="N200" s="52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</row>
    <row r="201" ht="13.05" customHeight="1" spans="1:31">
      <c r="A201" s="52"/>
      <c r="B201" s="157"/>
      <c r="C201" s="29"/>
      <c r="D201" s="29"/>
      <c r="E201" s="52"/>
      <c r="F201" s="92"/>
      <c r="G201" s="94"/>
      <c r="H201" s="29"/>
      <c r="I201" s="157"/>
      <c r="J201" s="167"/>
      <c r="K201" s="151"/>
      <c r="L201" s="52"/>
      <c r="M201" s="52"/>
      <c r="N201" s="29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</row>
    <row r="202" ht="13.05" customHeight="1" spans="1:31">
      <c r="A202" s="52"/>
      <c r="B202" s="156" t="s">
        <v>467</v>
      </c>
      <c r="C202" s="143" t="s">
        <v>193</v>
      </c>
      <c r="D202" s="137"/>
      <c r="E202" s="143"/>
      <c r="F202" s="147">
        <f>E202/3150</f>
        <v>0</v>
      </c>
      <c r="G202" s="91"/>
      <c r="H202" s="117" t="s">
        <v>194</v>
      </c>
      <c r="I202" s="158" t="s">
        <v>468</v>
      </c>
      <c r="J202" s="165"/>
      <c r="K202" s="147">
        <f>J202/300</f>
        <v>0</v>
      </c>
      <c r="L202" s="52"/>
      <c r="M202" s="143"/>
      <c r="N202" s="143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</row>
    <row r="203" ht="13.05" customHeight="1" spans="1:31">
      <c r="A203" s="52"/>
      <c r="B203" s="148"/>
      <c r="C203" s="52"/>
      <c r="D203" s="52"/>
      <c r="E203" s="52"/>
      <c r="F203" s="149"/>
      <c r="G203" s="150"/>
      <c r="H203" s="52"/>
      <c r="I203" s="148"/>
      <c r="J203" s="52"/>
      <c r="K203" s="164"/>
      <c r="L203" s="52"/>
      <c r="M203" s="52"/>
      <c r="N203" s="52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</row>
    <row r="204" ht="13.05" customHeight="1" spans="1:31">
      <c r="A204" s="52"/>
      <c r="B204" s="148"/>
      <c r="C204" s="52"/>
      <c r="D204" s="52"/>
      <c r="E204" s="52"/>
      <c r="F204" s="149"/>
      <c r="G204" s="150"/>
      <c r="H204" s="52"/>
      <c r="I204" s="148"/>
      <c r="J204" s="52"/>
      <c r="K204" s="164"/>
      <c r="L204" s="52"/>
      <c r="M204" s="52"/>
      <c r="N204" s="52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</row>
    <row r="205" ht="13.05" customHeight="1" spans="1:31">
      <c r="A205" s="52"/>
      <c r="B205" s="148"/>
      <c r="C205" s="52"/>
      <c r="D205" s="52"/>
      <c r="E205" s="52"/>
      <c r="F205" s="149"/>
      <c r="G205" s="150"/>
      <c r="H205" s="52"/>
      <c r="I205" s="148"/>
      <c r="J205" s="52"/>
      <c r="K205" s="164"/>
      <c r="L205" s="52"/>
      <c r="M205" s="52"/>
      <c r="N205" s="52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</row>
    <row r="206" ht="13.05" customHeight="1" spans="1:31">
      <c r="A206" s="29"/>
      <c r="B206" s="157"/>
      <c r="C206" s="29"/>
      <c r="D206" s="29"/>
      <c r="E206" s="29"/>
      <c r="F206" s="92"/>
      <c r="G206" s="94"/>
      <c r="H206" s="29"/>
      <c r="I206" s="157"/>
      <c r="J206" s="167"/>
      <c r="K206" s="164"/>
      <c r="L206" s="29"/>
      <c r="M206" s="29"/>
      <c r="N206" s="29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</row>
    <row r="207" spans="1:31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</row>
    <row r="208" spans="1:31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</row>
    <row r="209" spans="1:31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</row>
  </sheetData>
  <mergeCells count="704">
    <mergeCell ref="A1:AE1"/>
    <mergeCell ref="A2:C2"/>
    <mergeCell ref="D2:H2"/>
    <mergeCell ref="L2:N2"/>
    <mergeCell ref="O2:Q2"/>
    <mergeCell ref="R2:T2"/>
    <mergeCell ref="U2:W2"/>
    <mergeCell ref="Y2:AA2"/>
    <mergeCell ref="AB2:AC2"/>
    <mergeCell ref="A3:AE3"/>
    <mergeCell ref="C4:D4"/>
    <mergeCell ref="E4:F4"/>
    <mergeCell ref="G4:H4"/>
    <mergeCell ref="I4:W4"/>
    <mergeCell ref="X4:Z4"/>
    <mergeCell ref="AD4:AE4"/>
    <mergeCell ref="C5:D5"/>
    <mergeCell ref="E5:F5"/>
    <mergeCell ref="G5:H5"/>
    <mergeCell ref="I5:W5"/>
    <mergeCell ref="X5:Z5"/>
    <mergeCell ref="AD5:AE5"/>
    <mergeCell ref="A6:B6"/>
    <mergeCell ref="C6:F6"/>
    <mergeCell ref="G6:I6"/>
    <mergeCell ref="J6:L6"/>
    <mergeCell ref="M6:O6"/>
    <mergeCell ref="P6:R6"/>
    <mergeCell ref="S6:T6"/>
    <mergeCell ref="U6:X6"/>
    <mergeCell ref="C7:E7"/>
    <mergeCell ref="G7:O7"/>
    <mergeCell ref="P7:R7"/>
    <mergeCell ref="S7:AE7"/>
    <mergeCell ref="A8:F8"/>
    <mergeCell ref="G8:I8"/>
    <mergeCell ref="J8:K8"/>
    <mergeCell ref="M8:N8"/>
    <mergeCell ref="P8:R8"/>
    <mergeCell ref="S8:AE8"/>
    <mergeCell ref="A9:F9"/>
    <mergeCell ref="G9:I9"/>
    <mergeCell ref="J9:K9"/>
    <mergeCell ref="M9:N9"/>
    <mergeCell ref="P9:R9"/>
    <mergeCell ref="S9:AE9"/>
    <mergeCell ref="A10:B10"/>
    <mergeCell ref="C10:AE10"/>
    <mergeCell ref="C11:F11"/>
    <mergeCell ref="G11:I11"/>
    <mergeCell ref="J11:L11"/>
    <mergeCell ref="M11:N11"/>
    <mergeCell ref="P11:T11"/>
    <mergeCell ref="U11:W11"/>
    <mergeCell ref="X11:Y11"/>
    <mergeCell ref="C12:F12"/>
    <mergeCell ref="G12:H12"/>
    <mergeCell ref="J12:L12"/>
    <mergeCell ref="M12:N12"/>
    <mergeCell ref="S12:T12"/>
    <mergeCell ref="U12:W12"/>
    <mergeCell ref="X12:Y12"/>
    <mergeCell ref="C13:F13"/>
    <mergeCell ref="G13:H13"/>
    <mergeCell ref="J13:L13"/>
    <mergeCell ref="M13:N13"/>
    <mergeCell ref="S13:T13"/>
    <mergeCell ref="U13:W13"/>
    <mergeCell ref="X13:Y13"/>
    <mergeCell ref="C14:F14"/>
    <mergeCell ref="G14:H14"/>
    <mergeCell ref="J14:L14"/>
    <mergeCell ref="M14:N14"/>
    <mergeCell ref="S14:T14"/>
    <mergeCell ref="U14:W14"/>
    <mergeCell ref="X14:Y14"/>
    <mergeCell ref="C15:F15"/>
    <mergeCell ref="G15:H15"/>
    <mergeCell ref="J15:L15"/>
    <mergeCell ref="M15:N15"/>
    <mergeCell ref="P15:R15"/>
    <mergeCell ref="S15:T15"/>
    <mergeCell ref="U15:Y15"/>
    <mergeCell ref="C16:F16"/>
    <mergeCell ref="H16:K16"/>
    <mergeCell ref="L16:N16"/>
    <mergeCell ref="P16:R16"/>
    <mergeCell ref="S16:T16"/>
    <mergeCell ref="U16:Y16"/>
    <mergeCell ref="C17:F17"/>
    <mergeCell ref="H17:K17"/>
    <mergeCell ref="L17:N17"/>
    <mergeCell ref="P17:R17"/>
    <mergeCell ref="S17:T17"/>
    <mergeCell ref="U17:Y17"/>
    <mergeCell ref="C18:F18"/>
    <mergeCell ref="H18:K18"/>
    <mergeCell ref="L18:N18"/>
    <mergeCell ref="P18:R18"/>
    <mergeCell ref="S18:T18"/>
    <mergeCell ref="V18:W18"/>
    <mergeCell ref="A19:B19"/>
    <mergeCell ref="C19:AE19"/>
    <mergeCell ref="C20:AA20"/>
    <mergeCell ref="C21:N21"/>
    <mergeCell ref="P21:AA21"/>
    <mergeCell ref="D22:E22"/>
    <mergeCell ref="G22:H22"/>
    <mergeCell ref="J22:K22"/>
    <mergeCell ref="M22:N22"/>
    <mergeCell ref="Q22:R22"/>
    <mergeCell ref="T22:U22"/>
    <mergeCell ref="W22:X22"/>
    <mergeCell ref="Z22:AA22"/>
    <mergeCell ref="AD22:AE22"/>
    <mergeCell ref="D23:N23"/>
    <mergeCell ref="Q23:AA23"/>
    <mergeCell ref="AD23:AE23"/>
    <mergeCell ref="E24:G24"/>
    <mergeCell ref="H24:I24"/>
    <mergeCell ref="K24:N24"/>
    <mergeCell ref="R24:T24"/>
    <mergeCell ref="U24:V24"/>
    <mergeCell ref="X24:AA24"/>
    <mergeCell ref="AC24:AE24"/>
    <mergeCell ref="E25:G25"/>
    <mergeCell ref="H25:I25"/>
    <mergeCell ref="R25:T25"/>
    <mergeCell ref="U25:V25"/>
    <mergeCell ref="AC25:AE25"/>
    <mergeCell ref="F28:G28"/>
    <mergeCell ref="S28:T28"/>
    <mergeCell ref="AC28:AE28"/>
    <mergeCell ref="F29:G29"/>
    <mergeCell ref="S29:T29"/>
    <mergeCell ref="AC29:AE29"/>
    <mergeCell ref="F30:G30"/>
    <mergeCell ref="I30:J30"/>
    <mergeCell ref="S30:T30"/>
    <mergeCell ref="V30:W30"/>
    <mergeCell ref="F31:G31"/>
    <mergeCell ref="I31:J31"/>
    <mergeCell ref="S31:T31"/>
    <mergeCell ref="V31:W31"/>
    <mergeCell ref="C32:N32"/>
    <mergeCell ref="P32:AA32"/>
    <mergeCell ref="D33:N33"/>
    <mergeCell ref="Q33:AA33"/>
    <mergeCell ref="AB33:AC33"/>
    <mergeCell ref="AD33:AE33"/>
    <mergeCell ref="E34:G34"/>
    <mergeCell ref="H34:I34"/>
    <mergeCell ref="K34:N34"/>
    <mergeCell ref="R34:T34"/>
    <mergeCell ref="U34:V34"/>
    <mergeCell ref="X34:AA34"/>
    <mergeCell ref="AB34:AC34"/>
    <mergeCell ref="AD34:AE34"/>
    <mergeCell ref="E35:G35"/>
    <mergeCell ref="H35:I35"/>
    <mergeCell ref="R35:T35"/>
    <mergeCell ref="U35:V35"/>
    <mergeCell ref="AB35:AC35"/>
    <mergeCell ref="AD35:AE35"/>
    <mergeCell ref="F38:G38"/>
    <mergeCell ref="S38:T38"/>
    <mergeCell ref="AB38:AC38"/>
    <mergeCell ref="AD38:AE38"/>
    <mergeCell ref="F39:G39"/>
    <mergeCell ref="S39:T39"/>
    <mergeCell ref="AB39:AC39"/>
    <mergeCell ref="AD39:AE39"/>
    <mergeCell ref="F40:G40"/>
    <mergeCell ref="I40:J40"/>
    <mergeCell ref="S40:T40"/>
    <mergeCell ref="V40:W40"/>
    <mergeCell ref="AB40:AC40"/>
    <mergeCell ref="AD40:AE40"/>
    <mergeCell ref="I41:J41"/>
    <mergeCell ref="V41:W41"/>
    <mergeCell ref="D42:N42"/>
    <mergeCell ref="Q42:AA42"/>
    <mergeCell ref="C43:AA43"/>
    <mergeCell ref="C44:N44"/>
    <mergeCell ref="P44:AA44"/>
    <mergeCell ref="C45:D45"/>
    <mergeCell ref="G45:H45"/>
    <mergeCell ref="J45:K45"/>
    <mergeCell ref="M45:N45"/>
    <mergeCell ref="P45:Q45"/>
    <mergeCell ref="T45:U45"/>
    <mergeCell ref="W45:X45"/>
    <mergeCell ref="Z45:AA45"/>
    <mergeCell ref="C46:D46"/>
    <mergeCell ref="G46:H46"/>
    <mergeCell ref="J46:K46"/>
    <mergeCell ref="M46:N46"/>
    <mergeCell ref="P46:Q46"/>
    <mergeCell ref="T46:U46"/>
    <mergeCell ref="W46:X46"/>
    <mergeCell ref="Z46:AA46"/>
    <mergeCell ref="C47:N47"/>
    <mergeCell ref="P47:AA47"/>
    <mergeCell ref="E48:F48"/>
    <mergeCell ref="G48:H48"/>
    <mergeCell ref="I48:J48"/>
    <mergeCell ref="K48:L48"/>
    <mergeCell ref="R48:S48"/>
    <mergeCell ref="T48:U48"/>
    <mergeCell ref="V48:W48"/>
    <mergeCell ref="X48:Y48"/>
    <mergeCell ref="D49:N49"/>
    <mergeCell ref="Q49:AA49"/>
    <mergeCell ref="A50:B50"/>
    <mergeCell ref="C50:AE50"/>
    <mergeCell ref="A51:B51"/>
    <mergeCell ref="C51:AE51"/>
    <mergeCell ref="A52:B52"/>
    <mergeCell ref="C52:AE52"/>
    <mergeCell ref="A53:B53"/>
    <mergeCell ref="C53:AE53"/>
    <mergeCell ref="A54:AE54"/>
    <mergeCell ref="A55:L55"/>
    <mergeCell ref="O55:Z55"/>
    <mergeCell ref="AD55:AE55"/>
    <mergeCell ref="A56:B56"/>
    <mergeCell ref="C56:D56"/>
    <mergeCell ref="E56:F56"/>
    <mergeCell ref="G56:H56"/>
    <mergeCell ref="I56:J56"/>
    <mergeCell ref="K56:L56"/>
    <mergeCell ref="O56:Q56"/>
    <mergeCell ref="R56:U56"/>
    <mergeCell ref="V56:X56"/>
    <mergeCell ref="Y56:Z56"/>
    <mergeCell ref="A57:B57"/>
    <mergeCell ref="C57:D57"/>
    <mergeCell ref="E57:F57"/>
    <mergeCell ref="G57:H57"/>
    <mergeCell ref="I57:J57"/>
    <mergeCell ref="K57:L57"/>
    <mergeCell ref="A58:B58"/>
    <mergeCell ref="C58:D58"/>
    <mergeCell ref="E58:F58"/>
    <mergeCell ref="G58:H58"/>
    <mergeCell ref="I58:J58"/>
    <mergeCell ref="K58:L58"/>
    <mergeCell ref="AB58:AE58"/>
    <mergeCell ref="C59:D59"/>
    <mergeCell ref="E59:F59"/>
    <mergeCell ref="G59:H59"/>
    <mergeCell ref="I59:J59"/>
    <mergeCell ref="K59:L59"/>
    <mergeCell ref="O59:R59"/>
    <mergeCell ref="S59:U59"/>
    <mergeCell ref="V59:Z59"/>
    <mergeCell ref="AD59:AE59"/>
    <mergeCell ref="A60:B60"/>
    <mergeCell ref="C60:D60"/>
    <mergeCell ref="E60:F60"/>
    <mergeCell ref="G60:H60"/>
    <mergeCell ref="I60:J60"/>
    <mergeCell ref="K60:L60"/>
    <mergeCell ref="A61:B61"/>
    <mergeCell ref="C61:D61"/>
    <mergeCell ref="E61:F61"/>
    <mergeCell ref="G61:H61"/>
    <mergeCell ref="I61:J61"/>
    <mergeCell ref="K61:L61"/>
    <mergeCell ref="A62:B62"/>
    <mergeCell ref="C62:D62"/>
    <mergeCell ref="E62:F62"/>
    <mergeCell ref="G62:H62"/>
    <mergeCell ref="I62:J62"/>
    <mergeCell ref="K62:L62"/>
    <mergeCell ref="A63:B63"/>
    <mergeCell ref="C63:D63"/>
    <mergeCell ref="E63:F63"/>
    <mergeCell ref="G63:H63"/>
    <mergeCell ref="I63:J63"/>
    <mergeCell ref="K63:L63"/>
    <mergeCell ref="A65:AE65"/>
    <mergeCell ref="F66:G66"/>
    <mergeCell ref="S66:T66"/>
    <mergeCell ref="S67:T67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0:T180"/>
    <mergeCell ref="S181:T181"/>
    <mergeCell ref="S182:T182"/>
    <mergeCell ref="S183:T183"/>
    <mergeCell ref="S184:T184"/>
    <mergeCell ref="S185:T185"/>
    <mergeCell ref="S186:T186"/>
    <mergeCell ref="A4:A5"/>
    <mergeCell ref="A67:A86"/>
    <mergeCell ref="A87:A106"/>
    <mergeCell ref="A107:A126"/>
    <mergeCell ref="A127:A146"/>
    <mergeCell ref="A147:A166"/>
    <mergeCell ref="A167:A186"/>
    <mergeCell ref="A187:A196"/>
    <mergeCell ref="A197:A206"/>
    <mergeCell ref="B67:B76"/>
    <mergeCell ref="B77:B86"/>
    <mergeCell ref="B87:B96"/>
    <mergeCell ref="B97:B106"/>
    <mergeCell ref="B107:B116"/>
    <mergeCell ref="B117:B126"/>
    <mergeCell ref="B127:B136"/>
    <mergeCell ref="B137:B146"/>
    <mergeCell ref="B147:B156"/>
    <mergeCell ref="B157:B166"/>
    <mergeCell ref="B167:B176"/>
    <mergeCell ref="B177:B186"/>
    <mergeCell ref="B187:B191"/>
    <mergeCell ref="B192:B196"/>
    <mergeCell ref="B197:B201"/>
    <mergeCell ref="B202:B206"/>
    <mergeCell ref="C26:C27"/>
    <mergeCell ref="C36:C37"/>
    <mergeCell ref="C67:C76"/>
    <mergeCell ref="C77:C86"/>
    <mergeCell ref="C87:C96"/>
    <mergeCell ref="C97:C106"/>
    <mergeCell ref="C107:C116"/>
    <mergeCell ref="C117:C126"/>
    <mergeCell ref="C127:C136"/>
    <mergeCell ref="C137:C146"/>
    <mergeCell ref="C147:C156"/>
    <mergeCell ref="C157:C166"/>
    <mergeCell ref="C167:C176"/>
    <mergeCell ref="C177:C186"/>
    <mergeCell ref="C187:C191"/>
    <mergeCell ref="C192:C196"/>
    <mergeCell ref="C197:C201"/>
    <mergeCell ref="C202:C206"/>
    <mergeCell ref="D26:D27"/>
    <mergeCell ref="D36:D37"/>
    <mergeCell ref="D67:D76"/>
    <mergeCell ref="D77:D86"/>
    <mergeCell ref="D87:D96"/>
    <mergeCell ref="D97:D106"/>
    <mergeCell ref="D107:D116"/>
    <mergeCell ref="D117:D126"/>
    <mergeCell ref="D127:D136"/>
    <mergeCell ref="D137:D146"/>
    <mergeCell ref="D147:D156"/>
    <mergeCell ref="D157:D166"/>
    <mergeCell ref="D167:D176"/>
    <mergeCell ref="D177:D186"/>
    <mergeCell ref="D187:D191"/>
    <mergeCell ref="D192:D196"/>
    <mergeCell ref="D197:D201"/>
    <mergeCell ref="D202:D206"/>
    <mergeCell ref="E26:E27"/>
    <mergeCell ref="E36:E37"/>
    <mergeCell ref="E67:E76"/>
    <mergeCell ref="E77:E86"/>
    <mergeCell ref="E87:E96"/>
    <mergeCell ref="E97:E106"/>
    <mergeCell ref="E107:E116"/>
    <mergeCell ref="E117:E126"/>
    <mergeCell ref="E127:E136"/>
    <mergeCell ref="E137:E146"/>
    <mergeCell ref="E147:E156"/>
    <mergeCell ref="E157:E166"/>
    <mergeCell ref="E167:E176"/>
    <mergeCell ref="E177:E186"/>
    <mergeCell ref="E187:E191"/>
    <mergeCell ref="E192:E196"/>
    <mergeCell ref="E197:E201"/>
    <mergeCell ref="E202:E206"/>
    <mergeCell ref="H26:H27"/>
    <mergeCell ref="H36:H37"/>
    <mergeCell ref="H67:H76"/>
    <mergeCell ref="H77:H86"/>
    <mergeCell ref="H87:H96"/>
    <mergeCell ref="H97:H106"/>
    <mergeCell ref="H107:H116"/>
    <mergeCell ref="H117:H126"/>
    <mergeCell ref="H127:H136"/>
    <mergeCell ref="H137:H146"/>
    <mergeCell ref="H147:H156"/>
    <mergeCell ref="H157:H166"/>
    <mergeCell ref="H167:H176"/>
    <mergeCell ref="H177:H186"/>
    <mergeCell ref="H187:H191"/>
    <mergeCell ref="H192:H196"/>
    <mergeCell ref="H197:H201"/>
    <mergeCell ref="H202:H206"/>
    <mergeCell ref="I26:I27"/>
    <mergeCell ref="I36:I37"/>
    <mergeCell ref="I67:I86"/>
    <mergeCell ref="I87:I106"/>
    <mergeCell ref="I107:I126"/>
    <mergeCell ref="I127:I146"/>
    <mergeCell ref="I147:I166"/>
    <mergeCell ref="I167:I186"/>
    <mergeCell ref="I187:I191"/>
    <mergeCell ref="I192:I196"/>
    <mergeCell ref="I197:I201"/>
    <mergeCell ref="I202:I206"/>
    <mergeCell ref="J26:J27"/>
    <mergeCell ref="J36:J37"/>
    <mergeCell ref="J67:J86"/>
    <mergeCell ref="J87:J106"/>
    <mergeCell ref="J107:J126"/>
    <mergeCell ref="J127:J146"/>
    <mergeCell ref="J147:J166"/>
    <mergeCell ref="J167:J186"/>
    <mergeCell ref="J187:J191"/>
    <mergeCell ref="J192:J196"/>
    <mergeCell ref="J197:J201"/>
    <mergeCell ref="J202:J206"/>
    <mergeCell ref="K26:K27"/>
    <mergeCell ref="K36:K37"/>
    <mergeCell ref="K67:K86"/>
    <mergeCell ref="K87:K106"/>
    <mergeCell ref="K107:K126"/>
    <mergeCell ref="K127:K146"/>
    <mergeCell ref="K147:K166"/>
    <mergeCell ref="K167:K186"/>
    <mergeCell ref="K187:K191"/>
    <mergeCell ref="K192:K196"/>
    <mergeCell ref="K197:K201"/>
    <mergeCell ref="K202:K206"/>
    <mergeCell ref="L26:L27"/>
    <mergeCell ref="L36:L37"/>
    <mergeCell ref="L67:L86"/>
    <mergeCell ref="L87:L106"/>
    <mergeCell ref="L107:L126"/>
    <mergeCell ref="L127:L146"/>
    <mergeCell ref="L147:L166"/>
    <mergeCell ref="L167:L186"/>
    <mergeCell ref="L187:L196"/>
    <mergeCell ref="L197:L206"/>
    <mergeCell ref="M26:M27"/>
    <mergeCell ref="M36:M37"/>
    <mergeCell ref="M67:M86"/>
    <mergeCell ref="M87:M106"/>
    <mergeCell ref="M107:M126"/>
    <mergeCell ref="M127:M146"/>
    <mergeCell ref="M147:M166"/>
    <mergeCell ref="M167:M186"/>
    <mergeCell ref="M187:M191"/>
    <mergeCell ref="M192:M196"/>
    <mergeCell ref="M197:M201"/>
    <mergeCell ref="M202:M206"/>
    <mergeCell ref="N26:N27"/>
    <mergeCell ref="N36:N37"/>
    <mergeCell ref="N67:N86"/>
    <mergeCell ref="N87:N106"/>
    <mergeCell ref="N107:N126"/>
    <mergeCell ref="N127:N146"/>
    <mergeCell ref="N147:N166"/>
    <mergeCell ref="N167:N186"/>
    <mergeCell ref="N187:N191"/>
    <mergeCell ref="N192:N196"/>
    <mergeCell ref="N197:N201"/>
    <mergeCell ref="N202:N206"/>
    <mergeCell ref="O11:O15"/>
    <mergeCell ref="O21:O42"/>
    <mergeCell ref="O44:O49"/>
    <mergeCell ref="P26:P27"/>
    <mergeCell ref="P36:P37"/>
    <mergeCell ref="Q26:Q27"/>
    <mergeCell ref="Q36:Q37"/>
    <mergeCell ref="R26:R27"/>
    <mergeCell ref="R36:R37"/>
    <mergeCell ref="U26:U27"/>
    <mergeCell ref="U36:U37"/>
    <mergeCell ref="V26:V27"/>
    <mergeCell ref="V36:V37"/>
    <mergeCell ref="W26:W27"/>
    <mergeCell ref="W36:W37"/>
    <mergeCell ref="W67:W86"/>
    <mergeCell ref="W87:W106"/>
    <mergeCell ref="W107:W126"/>
    <mergeCell ref="W127:W146"/>
    <mergeCell ref="W147:W166"/>
    <mergeCell ref="W167:W186"/>
    <mergeCell ref="X26:X27"/>
    <mergeCell ref="X36:X37"/>
    <mergeCell ref="X67:X86"/>
    <mergeCell ref="X87:X106"/>
    <mergeCell ref="X107:X126"/>
    <mergeCell ref="X127:X146"/>
    <mergeCell ref="X147:X166"/>
    <mergeCell ref="X167:X186"/>
    <mergeCell ref="Y26:Y27"/>
    <mergeCell ref="Y36:Y37"/>
    <mergeCell ref="Y67:Y86"/>
    <mergeCell ref="Y87:Y106"/>
    <mergeCell ref="Y107:Y126"/>
    <mergeCell ref="Y127:Y146"/>
    <mergeCell ref="Y147:Y166"/>
    <mergeCell ref="Y167:Y186"/>
    <mergeCell ref="Z26:Z27"/>
    <mergeCell ref="Z36:Z37"/>
    <mergeCell ref="Z67:Z86"/>
    <mergeCell ref="Z87:Z106"/>
    <mergeCell ref="Z107:Z126"/>
    <mergeCell ref="Z127:Z146"/>
    <mergeCell ref="Z147:Z166"/>
    <mergeCell ref="Z167:Z186"/>
    <mergeCell ref="AA26:AA27"/>
    <mergeCell ref="AA36:AA37"/>
    <mergeCell ref="AA67:AA86"/>
    <mergeCell ref="AA87:AA106"/>
    <mergeCell ref="AA107:AA126"/>
    <mergeCell ref="AA127:AA146"/>
    <mergeCell ref="AA147:AA166"/>
    <mergeCell ref="AA167:AA186"/>
    <mergeCell ref="AB22:AB23"/>
    <mergeCell ref="AB26:AB27"/>
    <mergeCell ref="AB56:AB57"/>
    <mergeCell ref="AB60:AB61"/>
    <mergeCell ref="AB67:AB86"/>
    <mergeCell ref="AB87:AB106"/>
    <mergeCell ref="AB107:AB126"/>
    <mergeCell ref="AB127:AB146"/>
    <mergeCell ref="AB147:AB166"/>
    <mergeCell ref="AB167:AB186"/>
    <mergeCell ref="AC56:AC57"/>
    <mergeCell ref="AC60:AC61"/>
    <mergeCell ref="AC67:AC86"/>
    <mergeCell ref="AC87:AC106"/>
    <mergeCell ref="AC107:AC126"/>
    <mergeCell ref="AC127:AC146"/>
    <mergeCell ref="AC147:AC166"/>
    <mergeCell ref="AC167:AC186"/>
    <mergeCell ref="AD67:AD86"/>
    <mergeCell ref="AD87:AD106"/>
    <mergeCell ref="AD107:AD126"/>
    <mergeCell ref="AD127:AD146"/>
    <mergeCell ref="AD147:AD166"/>
    <mergeCell ref="AD167:AD186"/>
    <mergeCell ref="AE67:AE71"/>
    <mergeCell ref="AE72:AE76"/>
    <mergeCell ref="AE77:AE81"/>
    <mergeCell ref="AE82:AE86"/>
    <mergeCell ref="AE87:AE91"/>
    <mergeCell ref="AE92:AE96"/>
    <mergeCell ref="AE97:AE101"/>
    <mergeCell ref="AE102:AE106"/>
    <mergeCell ref="AE107:AE111"/>
    <mergeCell ref="AE112:AE116"/>
    <mergeCell ref="AE117:AE121"/>
    <mergeCell ref="AE122:AE126"/>
    <mergeCell ref="AE127:AE131"/>
    <mergeCell ref="AE132:AE136"/>
    <mergeCell ref="AE137:AE141"/>
    <mergeCell ref="AE142:AE146"/>
    <mergeCell ref="AE147:AE151"/>
    <mergeCell ref="AE152:AE156"/>
    <mergeCell ref="AE157:AE161"/>
    <mergeCell ref="AE162:AE166"/>
    <mergeCell ref="AE167:AE171"/>
    <mergeCell ref="AE172:AE176"/>
    <mergeCell ref="AE177:AE181"/>
    <mergeCell ref="AE182:AE186"/>
    <mergeCell ref="V60:Z61"/>
    <mergeCell ref="Y57:Z58"/>
    <mergeCell ref="AC26:AE27"/>
    <mergeCell ref="AD56:AE57"/>
    <mergeCell ref="V57:X58"/>
    <mergeCell ref="S60:U61"/>
    <mergeCell ref="A11:B18"/>
    <mergeCell ref="AB36:AC37"/>
    <mergeCell ref="AD36:AE37"/>
    <mergeCell ref="O60:R61"/>
    <mergeCell ref="F187:G191"/>
    <mergeCell ref="F67:G76"/>
    <mergeCell ref="O57:Q58"/>
    <mergeCell ref="AB30:AE32"/>
    <mergeCell ref="A20:B49"/>
    <mergeCell ref="AD60:AE61"/>
    <mergeCell ref="P12:R14"/>
    <mergeCell ref="R57:U58"/>
    <mergeCell ref="F77:G86"/>
    <mergeCell ref="F87:G96"/>
    <mergeCell ref="F97:G106"/>
    <mergeCell ref="F107:G116"/>
    <mergeCell ref="F117:G126"/>
    <mergeCell ref="F127:G136"/>
    <mergeCell ref="F137:G146"/>
    <mergeCell ref="F147:G156"/>
    <mergeCell ref="F157:G166"/>
    <mergeCell ref="F167:G176"/>
    <mergeCell ref="F177:G186"/>
    <mergeCell ref="F192:G196"/>
    <mergeCell ref="F197:G201"/>
    <mergeCell ref="F202:G206"/>
  </mergeCells>
  <conditionalFormatting sqref="AD56">
    <cfRule type="dataBar" priority="3575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{2f8ab2b8-659f-42b3-854b-70a2b9081432}</x14:id>
        </ext>
      </extLst>
    </cfRule>
    <cfRule type="dataBar" priority="3574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{e103004c-c4e4-4fa3-9769-fb9ca26f4c78}</x14:id>
        </ext>
      </extLst>
    </cfRule>
    <cfRule type="dataBar" priority="3573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{49e3769f-6f5d-4eec-8ee3-f9c3803651a0}</x14:id>
        </ext>
      </extLst>
    </cfRule>
    <cfRule type="dataBar" priority="3572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{1fbfc07f-79a1-4135-9d97-62d943420f52}</x14:id>
        </ext>
      </extLst>
    </cfRule>
    <cfRule type="dataBar" priority="3571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{b70d59b5-a2ab-42bb-b40e-2fcafc450e49}</x14:id>
        </ext>
      </extLst>
    </cfRule>
    <cfRule type="dataBar" priority="3570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{1b958743-889b-4872-9d75-95ff8da8b1c3}</x14:id>
        </ext>
      </extLst>
    </cfRule>
    <cfRule type="dataBar" priority="3569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{cfab5dfe-0060-4c26-9875-9b1d70ee3b06}</x14:id>
        </ext>
      </extLst>
    </cfRule>
    <cfRule type="dataBar" priority="356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{8f749d85-1abd-47cd-b97e-8ead994726be}</x14:id>
        </ext>
      </extLst>
    </cfRule>
  </conditionalFormatting>
  <conditionalFormatting sqref="K60">
    <cfRule type="dataBar" priority="3542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{132bcd4b-2115-4e4a-8f1e-1658d3f7d11e}</x14:id>
        </ext>
      </extLst>
    </cfRule>
    <cfRule type="dataBar" priority="3541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{f001f1c8-2884-4540-ba0e-e1ee630b7f8c}</x14:id>
        </ext>
      </extLst>
    </cfRule>
    <cfRule type="dataBar" priority="3540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{ba64f036-3945-41af-9e2a-d87ebeaab8d7}</x14:id>
        </ext>
      </extLst>
    </cfRule>
    <cfRule type="dataBar" priority="3539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{dd370852-24d3-47b4-a3b4-decff3c2be3d}</x14:id>
        </ext>
      </extLst>
    </cfRule>
    <cfRule type="dataBar" priority="3538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{b5cf09fb-9cea-486b-8e81-dc15c4b1761b}</x14:id>
        </ext>
      </extLst>
    </cfRule>
    <cfRule type="dataBar" priority="3537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{b2759981-a8e1-4a96-acfa-f05c94cca9a8}</x14:id>
        </ext>
      </extLst>
    </cfRule>
    <cfRule type="dataBar" priority="3536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{8d68aae1-86d7-4e6e-a625-5b431a243431}</x14:id>
        </ext>
      </extLst>
    </cfRule>
    <cfRule type="dataBar" priority="3534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{8fefc0ff-7559-471f-bdfb-92614b8b819d}</x14:id>
        </ext>
      </extLst>
    </cfRule>
  </conditionalFormatting>
  <conditionalFormatting sqref="AD60">
    <cfRule type="dataBar" priority="3564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{724a13fe-4e2f-4eeb-a221-a4c34f6ac784}</x14:id>
        </ext>
      </extLst>
    </cfRule>
    <cfRule type="dataBar" priority="3563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{f42d3815-2df8-47a2-aecb-a2e7a83cad31}</x14:id>
        </ext>
      </extLst>
    </cfRule>
    <cfRule type="dataBar" priority="356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{1348c56d-ac9e-4c15-9611-f4100572a72f}</x14:id>
        </ext>
      </extLst>
    </cfRule>
    <cfRule type="dataBar" priority="3561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{1822f730-b14b-4cdf-bbd9-fccb42829e5a}</x14:id>
        </ext>
      </extLst>
    </cfRule>
    <cfRule type="dataBar" priority="3560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{dc5684ee-1bd5-493c-bbf6-aea4718a9239}</x14:id>
        </ext>
      </extLst>
    </cfRule>
    <cfRule type="dataBar" priority="3559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{f8c8e042-16cc-4cb4-9b3c-2043324e5161}</x14:id>
        </ext>
      </extLst>
    </cfRule>
    <cfRule type="dataBar" priority="3558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{9e31d3fc-5aac-4fca-ab79-c4172e740a56}</x14:id>
        </ext>
      </extLst>
    </cfRule>
    <cfRule type="dataBar" priority="355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{058a43bb-134c-4fd5-a962-56bae87b932c}</x14:id>
        </ext>
      </extLst>
    </cfRule>
  </conditionalFormatting>
  <conditionalFormatting sqref="K61">
    <cfRule type="dataBar" priority="3531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{95671c19-f6e2-4d14-989e-89b03b15aab4}</x14:id>
        </ext>
      </extLst>
    </cfRule>
    <cfRule type="dataBar" priority="3530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{e502c1c3-e1b9-472a-99ee-ee888f3c3fa0}</x14:id>
        </ext>
      </extLst>
    </cfRule>
    <cfRule type="dataBar" priority="3529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{972b201a-0d09-4cc3-8b10-003409a0a2a0}</x14:id>
        </ext>
      </extLst>
    </cfRule>
    <cfRule type="dataBar" priority="3528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{06570661-22df-4640-b7e3-5cbd80ffce32}</x14:id>
        </ext>
      </extLst>
    </cfRule>
    <cfRule type="dataBar" priority="3527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{e937705d-3735-473f-ae16-8850ba221086}</x14:id>
        </ext>
      </extLst>
    </cfRule>
    <cfRule type="dataBar" priority="3526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{27e00057-c2ac-49ba-aa9d-57ab209071fd}</x14:id>
        </ext>
      </extLst>
    </cfRule>
    <cfRule type="dataBar" priority="3525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{9fdc44a5-fddb-4b90-bcc8-6dad20809652}</x14:id>
        </ext>
      </extLst>
    </cfRule>
    <cfRule type="dataBar" priority="352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{c943b295-da13-4990-83ff-95f20ebdf311}</x14:id>
        </ext>
      </extLst>
    </cfRule>
  </conditionalFormatting>
  <conditionalFormatting sqref="K62">
    <cfRule type="dataBar" priority="3520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{45c45535-357f-4fe7-8287-34be560e5818}</x14:id>
        </ext>
      </extLst>
    </cfRule>
    <cfRule type="dataBar" priority="3519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{0301ef99-2cd9-4460-924c-4d734d236d6b}</x14:id>
        </ext>
      </extLst>
    </cfRule>
    <cfRule type="dataBar" priority="3518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{835f3940-de3b-4c74-af91-fb784c82fd98}</x14:id>
        </ext>
      </extLst>
    </cfRule>
    <cfRule type="dataBar" priority="3517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{6f0311d9-ac86-4bf8-880c-c4d4084371be}</x14:id>
        </ext>
      </extLst>
    </cfRule>
    <cfRule type="dataBar" priority="3516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{ac5725b4-2aac-4861-9a22-76749211c59c}</x14:id>
        </ext>
      </extLst>
    </cfRule>
    <cfRule type="dataBar" priority="3515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{4edc7fb0-4b09-49dd-9b3f-aea5c9eea3ae}</x14:id>
        </ext>
      </extLst>
    </cfRule>
    <cfRule type="dataBar" priority="3514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{33b1d2fd-2c41-45f0-aaa2-54b950563956}</x14:id>
        </ext>
      </extLst>
    </cfRule>
    <cfRule type="dataBar" priority="351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{8b1177c4-e07d-4bf2-9a07-ecdacff48c38}</x14:id>
        </ext>
      </extLst>
    </cfRule>
  </conditionalFormatting>
  <conditionalFormatting sqref="K63">
    <cfRule type="dataBar" priority="3509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{6378e9c4-dc21-44de-bca8-5b500886d24e}</x14:id>
        </ext>
      </extLst>
    </cfRule>
    <cfRule type="dataBar" priority="3508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{492fbdeb-2f99-4592-98c8-01015a152b08}</x14:id>
        </ext>
      </extLst>
    </cfRule>
    <cfRule type="dataBar" priority="3507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{4b2ebd09-69d2-4f00-890b-95824ddc1979}</x14:id>
        </ext>
      </extLst>
    </cfRule>
    <cfRule type="dataBar" priority="3506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{3f9dfcb6-5eff-4dad-8253-d53526e2b38e}</x14:id>
        </ext>
      </extLst>
    </cfRule>
    <cfRule type="dataBar" priority="3505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{c69c651d-5404-491d-aee8-4b95d50ba9e5}</x14:id>
        </ext>
      </extLst>
    </cfRule>
    <cfRule type="dataBar" priority="3504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{4b2689c9-e890-44ed-94fb-f381bcc7af4f}</x14:id>
        </ext>
      </extLst>
    </cfRule>
    <cfRule type="dataBar" priority="3503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{e0173ed5-c078-42e0-a379-cf382d2e5257}</x14:id>
        </ext>
      </extLst>
    </cfRule>
    <cfRule type="dataBar" priority="350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{65cc7cf5-14c0-4b5f-811f-ca1b8efbbbd6}</x14:id>
        </ext>
      </extLst>
    </cfRule>
  </conditionalFormatting>
  <conditionalFormatting sqref="K57:K58">
    <cfRule type="dataBar" priority="3553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{d4b99512-e121-4139-bf4f-478598f3b8ed}</x14:id>
        </ext>
      </extLst>
    </cfRule>
    <cfRule type="dataBar" priority="3552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{b7990eb3-e2a8-4729-9627-76a9d283c86b}</x14:id>
        </ext>
      </extLst>
    </cfRule>
    <cfRule type="dataBar" priority="3551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{75d7fee4-819b-44d9-8b20-6a7c4d59367a}</x14:id>
        </ext>
      </extLst>
    </cfRule>
    <cfRule type="dataBar" priority="3550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{bf167ec8-97f8-4a4f-ba88-8c79cb10fc18}</x14:id>
        </ext>
      </extLst>
    </cfRule>
    <cfRule type="dataBar" priority="3549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{39c6f328-e21c-487e-9581-bddc8a5f186d}</x14:id>
        </ext>
      </extLst>
    </cfRule>
    <cfRule type="dataBar" priority="3548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{c3c70eec-574d-4356-a558-48c9608afde4}</x14:id>
        </ext>
      </extLst>
    </cfRule>
    <cfRule type="dataBar" priority="3547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{021101b6-8b46-487c-b045-56b47db6efe3}</x14:id>
        </ext>
      </extLst>
    </cfRule>
    <cfRule type="dataBar" priority="354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{454fa8b0-dc96-45a7-9abf-4fe778497fd0}</x14:id>
        </ext>
      </extLst>
    </cfRule>
  </conditionalFormatting>
  <conditionalFormatting sqref="K187:K206">
    <cfRule type="dataBar" priority="89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{660c922d-c322-4e1f-8fb1-db4774b5108c}</x14:id>
        </ext>
      </extLst>
    </cfRule>
  </conditionalFormatting>
  <conditionalFormatting sqref="AD56:AE57">
    <cfRule type="dataBar" priority="3566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{1ae039ae-cfd2-4723-806c-aa9965162f54}</x14:id>
        </ext>
      </extLst>
    </cfRule>
  </conditionalFormatting>
  <conditionalFormatting sqref="AD60:AE63">
    <cfRule type="dataBar" priority="3555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{2669753b-ea0b-452e-8989-626ec7c7b8bd}</x14:id>
        </ext>
      </extLst>
    </cfRule>
  </conditionalFormatting>
  <conditionalFormatting sqref="F67 F77 F87 F97 F107 F117 F127 F137 F147 F157 F167 F177">
    <cfRule type="dataBar" priority="16">
      <dataBar>
        <cfvo type="percentile" val="1"/>
        <cfvo type="percentile" val="100"/>
        <color rgb="FFFFC000"/>
      </dataBar>
      <extLst>
        <ext xmlns:x14="http://schemas.microsoft.com/office/spreadsheetml/2009/9/main" uri="{B025F937-C7B1-47D3-B67F-A62EFF666E3E}">
          <x14:id>{0e19dd18-97db-4fd5-8e86-0653719ff076}</x14:id>
        </ext>
      </extLst>
    </cfRule>
    <cfRule type="dataBar" priority="15">
      <dataBar>
        <cfvo type="percent" val="0"/>
        <cfvo type="percent" val="100"/>
        <color rgb="FFFFC000"/>
      </dataBar>
      <extLst>
        <ext xmlns:x14="http://schemas.microsoft.com/office/spreadsheetml/2009/9/main" uri="{B025F937-C7B1-47D3-B67F-A62EFF666E3E}">
          <x14:id>{9b018b58-33a7-48ff-9aec-861c382930c1}</x14:id>
        </ext>
      </extLst>
    </cfRule>
    <cfRule type="dataBar" priority="14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{e3294e00-1e6c-4312-824c-622cd3063868}</x14:id>
        </ext>
      </extLst>
    </cfRule>
    <cfRule type="dataBar" priority="13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{4dedcafa-b9ff-4bf4-b4eb-8fa8b925331c}</x14:id>
        </ext>
      </extLst>
    </cfRule>
    <cfRule type="dataBar" priority="12">
      <dataBar>
        <cfvo type="percentile" val="0"/>
        <cfvo type="percentile" val="100"/>
        <color rgb="FF638EC6"/>
      </dataBar>
      <extLst>
        <ext xmlns:x14="http://schemas.microsoft.com/office/spreadsheetml/2009/9/main" uri="{B025F937-C7B1-47D3-B67F-A62EFF666E3E}">
          <x14:id>{d117c7c5-2c2b-4130-b77b-b6d2b8bd77a4}</x14:id>
        </ext>
      </extLst>
    </cfRule>
    <cfRule type="dataBar" priority="11">
      <dataBar>
        <cfvo type="percent" val="0"/>
        <cfvo type="percent" val="1"/>
        <color rgb="FF638EC6"/>
      </dataBar>
      <extLst>
        <ext xmlns:x14="http://schemas.microsoft.com/office/spreadsheetml/2009/9/main" uri="{B025F937-C7B1-47D3-B67F-A62EFF666E3E}">
          <x14:id>{eaecd9f0-0e92-426c-82df-369973eb2a9e}</x14:id>
        </ext>
      </extLst>
    </cfRule>
    <cfRule type="dataBar" priority="10">
      <dataBar>
        <cfvo type="min"/>
        <cfvo type="num" val="1"/>
        <color rgb="FFFFB628"/>
      </dataBar>
      <extLst>
        <ext xmlns:x14="http://schemas.microsoft.com/office/spreadsheetml/2009/9/main" uri="{B025F937-C7B1-47D3-B67F-A62EFF666E3E}">
          <x14:id>{d842f337-be2b-4ddd-aec6-41cd66fa1536}</x14:id>
        </ext>
      </extLst>
    </cfRule>
    <cfRule type="dataBar" priority="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{b6816a42-ff2a-4f11-beb0-6f2a8e77605d}</x14:id>
        </ext>
      </extLst>
    </cfRule>
  </conditionalFormatting>
  <conditionalFormatting sqref="K67:K77 K83:K97 K103:K117 K123:K137 K143:K157 K163:K177 K183:K186">
    <cfRule type="dataBar" priority="8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{44ab21ed-40fd-4816-b690-93c0ce8ede0a}</x14:id>
        </ext>
      </extLst>
    </cfRule>
    <cfRule type="dataBar" priority="86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{6f762d2f-bcfb-44e4-9975-728c71e7802a}</x14:id>
        </ext>
      </extLst>
    </cfRule>
  </conditionalFormatting>
  <conditionalFormatting sqref="Y67:Y77 Y83:Y97 Y103:Y120 Y123:Y139 Y143:Y158 Y163:Y177 Y183:Y186">
    <cfRule type="dataBar" priority="8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{af3dccdd-07f0-40c8-83ea-21a3fee232b0}</x14:id>
        </ext>
      </extLst>
    </cfRule>
  </conditionalFormatting>
  <conditionalFormatting sqref="AB67 AB87 AB107 AB127 AB147 AB167">
    <cfRule type="dataBar" priority="99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{f7b110bb-9790-4d0d-8139-140a818cffdb}</x14:id>
        </ext>
      </extLst>
    </cfRule>
    <cfRule type="dataBar" priority="98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{5ba520d9-c72b-4e5f-86e8-bba8b29380f5}</x14:id>
        </ext>
      </extLst>
    </cfRule>
  </conditionalFormatting>
  <conditionalFormatting sqref="AB67:AB77 AB83:AB97 AB103:AB120 AB123:AB139 AB143:AB158 AB163:AB177 AB183:AB186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{da491c53-d03c-4bf2-b9ef-9823ffd28842}</x14:id>
        </ext>
      </extLst>
    </cfRule>
    <cfRule type="dataBar" priority="95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{13738b4b-240a-488f-b083-178f2b5e040c}</x14:id>
        </ext>
      </extLst>
    </cfRule>
  </conditionalFormatting>
  <conditionalFormatting sqref="AB67:AB77 AB83:AB97 AB103:AB117 AB123:AB137 AB143:AB157 AB163:AB177 AB183:AB186">
    <cfRule type="dataBar" priority="83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{ba0c5448-d32a-4675-9089-76b81e755493}</x14:id>
        </ext>
      </extLst>
    </cfRule>
  </conditionalFormatting>
  <conditionalFormatting sqref="K78:K82 K98:K102 K118:K122 K138:K142 K158:K162 K178:K182">
    <cfRule type="dataBar" priority="62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{8f451540-f630-4265-bc19-82120acc6706}</x14:id>
        </ext>
      </extLst>
    </cfRule>
    <cfRule type="dataBar" priority="60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{17181710-2ecf-4e19-93a6-ef82998c0bfa}</x14:id>
        </ext>
      </extLst>
    </cfRule>
  </conditionalFormatting>
  <conditionalFormatting sqref="Y78:Y82 Y98:Y102 Y118:Y122 Y138:Y142 Y158:Y162 Y178:Y182">
    <cfRule type="dataBar" priority="6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{fd8c2d4f-9ca3-4f1a-b1b0-d72889cc5208}</x14:id>
        </ext>
      </extLst>
    </cfRule>
  </conditionalFormatting>
  <conditionalFormatting sqref="AB78:AB82 AB98:AB102 AB118:AB122 AB138:AB142 AB158:AB162 AB178:AB182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{76a5327a-5948-46e7-9077-382bdfd2f832}</x14:id>
        </ext>
      </extLst>
    </cfRule>
    <cfRule type="dataBar" priority="63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{47b64aed-da21-47f3-9440-c77a8fc347b9}</x14:id>
        </ext>
      </extLst>
    </cfRule>
    <cfRule type="dataBar" priority="57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{581c8166-3232-4450-85b6-505e48de7565}</x14:id>
        </ext>
      </extLst>
    </cfRule>
  </conditionalFormatting>
  <conditionalFormatting sqref="F187 F192 F197 F202">
    <cfRule type="dataBar" priority="102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{407d13e1-aff9-41d1-8dc7-a8428c93ebec}</x14:id>
        </ext>
      </extLst>
    </cfRule>
    <cfRule type="dataBar" priority="10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{1d7204ba-4c9e-42e0-b4cc-31eadfa107ab}</x14:id>
        </ext>
      </extLst>
    </cfRule>
    <cfRule type="dataBar" priority="94">
      <dataBar>
        <cfvo type="min"/>
        <cfvo type="num" val="1"/>
        <color rgb="FFFFFF00"/>
      </dataBar>
      <extLst>
        <ext xmlns:x14="http://schemas.microsoft.com/office/spreadsheetml/2009/9/main" uri="{B025F937-C7B1-47D3-B67F-A62EFF666E3E}">
          <x14:id>{fc2afdd3-dc76-469e-9597-311e18cdc97b}</x14:id>
        </ext>
      </extLst>
    </cfRule>
  </conditionalFormatting>
  <conditionalFormatting sqref="K187 K192 K197 K202">
    <cfRule type="dataBar" priority="92">
      <dataBar>
        <cfvo type="min"/>
        <cfvo type="num" val="1"/>
        <color rgb="FF008AEF"/>
      </dataBar>
      <extLst>
        <ext xmlns:x14="http://schemas.microsoft.com/office/spreadsheetml/2009/9/main" uri="{B025F937-C7B1-47D3-B67F-A62EFF666E3E}">
          <x14:id>{9fcb19b0-7885-49b2-b8e5-84a1f0c644d0}</x14:id>
        </ext>
      </extLst>
    </cfRule>
    <cfRule type="dataBar" priority="91">
      <dataBar>
        <cfvo type="min"/>
        <cfvo type="num" val="1"/>
        <color rgb="FFFFC000"/>
      </dataBar>
      <extLst>
        <ext xmlns:x14="http://schemas.microsoft.com/office/spreadsheetml/2009/9/main" uri="{B025F937-C7B1-47D3-B67F-A62EFF666E3E}">
          <x14:id>{62bf14c4-f22e-4706-aca6-3c89b91e71e1}</x14:id>
        </ext>
      </extLst>
    </cfRule>
  </conditionalFormatting>
  <dataValidations count="7">
    <dataValidation type="list" allowBlank="1" showInputMessage="1" showErrorMessage="1" sqref="D2:H2">
      <formula1>"白,夜"</formula1>
    </dataValidation>
    <dataValidation type="list" allowBlank="1" showInputMessage="1" showErrorMessage="1" sqref="L2:N2">
      <formula1>"晴,多云,小雨,大雨,阴,雾,霾"</formula1>
    </dataValidation>
    <dataValidation allowBlank="1" showInputMessage="1" showErrorMessage="1" sqref="E5:F5 G7:O7 S7:AE7 G16:G18 S15:T18"/>
    <dataValidation type="list" allowBlank="1" showInputMessage="1" showErrorMessage="1" sqref="G5:H5">
      <formula1>"配电,弱电,暖通,消防,其他"</formula1>
    </dataValidation>
    <dataValidation type="list" allowBlank="1" showInputMessage="1" showErrorMessage="1" sqref="AB5">
      <formula1>"低,中,高"</formula1>
    </dataValidation>
    <dataValidation type="list" allowBlank="1" showInputMessage="1" showErrorMessage="1" sqref="G6:I6 P6:R6">
      <formula1>"A班,B班,C班,D班"</formula1>
    </dataValidation>
    <dataValidation type="list" allowBlank="1" showInputMessage="1" showErrorMessage="1" sqref="A11:B18 A20:B49">
      <formula1>"A楼,B楼,C楼,D楼,E楼"</formula1>
    </dataValidation>
  </dataValidations>
  <pageMargins left="0.75" right="0.75" top="1" bottom="1" header="0.5" footer="0.5"/>
  <pageSetup paperSize="9" scale="19" orientation="portrait"/>
  <headerFooter/>
  <rowBreaks count="1" manualBreakCount="1">
    <brk id="209" max="32" man="1"/>
  </rowBreak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8ab2b8-659f-42b3-854b-70a2b9081432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e103004c-c4e4-4fa3-9769-fb9ca26f4c78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49e3769f-6f5d-4eec-8ee3-f9c3803651a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1fbfc07f-79a1-4135-9d97-62d943420f52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b70d59b5-a2ab-42bb-b40e-2fcafc450e49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1b958743-889b-4872-9d75-95ff8da8b1c3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cfab5dfe-0060-4c26-9875-9b1d70ee3b0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f749d85-1abd-47cd-b97e-8ead994726be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AD56</xm:sqref>
        </x14:conditionalFormatting>
        <x14:conditionalFormatting xmlns:xm="http://schemas.microsoft.com/office/excel/2006/main">
          <x14:cfRule type="dataBar" id="{132bcd4b-2115-4e4a-8f1e-1658d3f7d11e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f001f1c8-2884-4540-ba0e-e1ee630b7f8c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ba64f036-3945-41af-9e2a-d87ebeaab8d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dd370852-24d3-47b4-a3b4-decff3c2be3d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b5cf09fb-9cea-486b-8e81-dc15c4b1761b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b2759981-a8e1-4a96-acfa-f05c94cca9a8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8d68aae1-86d7-4e6e-a625-5b431a243431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fefc0ff-7559-471f-bdfb-92614b8b819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K60</xm:sqref>
        </x14:conditionalFormatting>
        <x14:conditionalFormatting xmlns:xm="http://schemas.microsoft.com/office/excel/2006/main">
          <x14:cfRule type="dataBar" id="{724a13fe-4e2f-4eeb-a221-a4c34f6ac784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f42d3815-2df8-47a2-aecb-a2e7a83cad31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1348c56d-ac9e-4c15-9611-f4100572a72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1822f730-b14b-4cdf-bbd9-fccb42829e5a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dc5684ee-1bd5-493c-bbf6-aea4718a9239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f8c8e042-16cc-4cb4-9b3c-2043324e5161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9e31d3fc-5aac-4fca-ab79-c4172e740a5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058a43bb-134c-4fd5-a962-56bae87b932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AD60</xm:sqref>
        </x14:conditionalFormatting>
        <x14:conditionalFormatting xmlns:xm="http://schemas.microsoft.com/office/excel/2006/main">
          <x14:cfRule type="dataBar" id="{95671c19-f6e2-4d14-989e-89b03b15aab4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e502c1c3-e1b9-472a-99ee-ee888f3c3fa0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972b201a-0d09-4cc3-8b10-003409a0a2a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06570661-22df-4640-b7e3-5cbd80ffce32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e937705d-3735-473f-ae16-8850ba221086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27e00057-c2ac-49ba-aa9d-57ab209071fd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9fdc44a5-fddb-4b90-bcc8-6dad20809652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c943b295-da13-4990-83ff-95f20ebdf311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K61</xm:sqref>
        </x14:conditionalFormatting>
        <x14:conditionalFormatting xmlns:xm="http://schemas.microsoft.com/office/excel/2006/main">
          <x14:cfRule type="dataBar" id="{45c45535-357f-4fe7-8287-34be560e5818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0301ef99-2cd9-4460-924c-4d734d236d6b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835f3940-de3b-4c74-af91-fb784c82fd9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6f0311d9-ac86-4bf8-880c-c4d4084371be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ac5725b4-2aac-4861-9a22-76749211c59c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4edc7fb0-4b09-49dd-9b3f-aea5c9eea3ae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33b1d2fd-2c41-45f0-aaa2-54b95056395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8b1177c4-e07d-4bf2-9a07-ecdacff48c3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K62</xm:sqref>
        </x14:conditionalFormatting>
        <x14:conditionalFormatting xmlns:xm="http://schemas.microsoft.com/office/excel/2006/main">
          <x14:cfRule type="dataBar" id="{6378e9c4-dc21-44de-bca8-5b500886d24e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492fbdeb-2f99-4592-98c8-01015a152b08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4b2ebd09-69d2-4f00-890b-95824ddc197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3f9dfcb6-5eff-4dad-8253-d53526e2b38e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c69c651d-5404-491d-aee8-4b95d50ba9e5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4b2689c9-e890-44ed-94fb-f381bcc7af4f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e0173ed5-c078-42e0-a379-cf382d2e5257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5cc7cf5-14c0-4b5f-811f-ca1b8efbbbd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K63</xm:sqref>
        </x14:conditionalFormatting>
        <x14:conditionalFormatting xmlns:xm="http://schemas.microsoft.com/office/excel/2006/main">
          <x14:cfRule type="dataBar" id="{d4b99512-e121-4139-bf4f-478598f3b8ed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b7990eb3-e2a8-4729-9627-76a9d283c86b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75d7fee4-819b-44d9-8b20-6a7c4d59367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bf167ec8-97f8-4a4f-ba88-8c79cb10fc18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39c6f328-e21c-487e-9581-bddc8a5f186d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c3c70eec-574d-4356-a558-48c9608afde4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021101b6-8b46-487c-b045-56b47db6efe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454fa8b0-dc96-45a7-9abf-4fe778497fd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K57:K58</xm:sqref>
        </x14:conditionalFormatting>
        <x14:conditionalFormatting xmlns:xm="http://schemas.microsoft.com/office/excel/2006/main">
          <x14:cfRule type="dataBar" id="{660c922d-c322-4e1f-8fb1-db4774b5108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K187:K206</xm:sqref>
        </x14:conditionalFormatting>
        <x14:conditionalFormatting xmlns:xm="http://schemas.microsoft.com/office/excel/2006/main">
          <x14:cfRule type="dataBar" id="{1ae039ae-cfd2-4723-806c-aa9965162f54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AD56:AE57</xm:sqref>
        </x14:conditionalFormatting>
        <x14:conditionalFormatting xmlns:xm="http://schemas.microsoft.com/office/excel/2006/main">
          <x14:cfRule type="dataBar" id="{2669753b-ea0b-452e-8989-626ec7c7b8b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AD60:AE63</xm:sqref>
        </x14:conditionalFormatting>
        <x14:conditionalFormatting xmlns:xm="http://schemas.microsoft.com/office/excel/2006/main">
          <x14:cfRule type="dataBar" id="{0e19dd18-97db-4fd5-8e86-0653719ff076}">
            <x14:dataBar minLength="10" maxLength="90" negativeBarColorSameAsPositive="1" axisPosition="none">
              <x14:cfvo type="percentile">
                <xm:f>1</xm:f>
              </x14:cfvo>
              <x14:cfvo type="percentile">
                <xm:f>100</xm:f>
              </x14:cfvo>
              <x14:axisColor indexed="65"/>
            </x14:dataBar>
          </x14:cfRule>
          <x14:cfRule type="dataBar" id="{9b018b58-33a7-48ff-9aec-861c382930c1}">
            <x14:dataBar minLength="10" maxLength="90" negativeBarColorSameAsPositive="1" axisPosition="none">
              <x14:cfvo type="percent">
                <xm:f>0</xm:f>
              </x14:cfvo>
              <x14:cfvo type="percent">
                <xm:f>100</xm:f>
              </x14:cfvo>
              <x14:axisColor indexed="65"/>
            </x14:dataBar>
          </x14:cfRule>
          <x14:cfRule type="dataBar" id="{e3294e00-1e6c-4312-824c-622cd306386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4dedcafa-b9ff-4bf4-b4eb-8fa8b925331c}">
            <x14:dataBar minLength="10" maxLength="90" negativeBarColorSameAsPositive="1" axisPosition="none">
              <x14:cfvo type="num">
                <xm:f>0</xm:f>
              </x14:cfvo>
              <x14:cfvo type="num">
                <xm:f>0</xm:f>
              </x14:cfvo>
              <x14:axisColor indexed="65"/>
            </x14:dataBar>
          </x14:cfRule>
          <x14:cfRule type="dataBar" id="{d117c7c5-2c2b-4130-b77b-b6d2b8bd77a4}">
            <x14:dataBar minLength="10" maxLength="90" negativeBarColorSameAsPositive="1" axisPosition="none">
              <x14:cfvo type="percentile">
                <xm:f>0</xm:f>
              </x14:cfvo>
              <x14:cfvo type="percentile">
                <xm:f>100</xm:f>
              </x14:cfvo>
              <x14:axisColor indexed="65"/>
            </x14:dataBar>
          </x14:cfRule>
          <x14:cfRule type="dataBar" id="{eaecd9f0-0e92-426c-82df-369973eb2a9e}">
            <x14:dataBar minLength="10" maxLength="90" negativeBarColorSameAsPositive="1" axisPosition="none">
              <x14:cfvo type="percent">
                <xm:f>0</xm:f>
              </x14:cfvo>
              <x14:cfvo type="percent">
                <xm:f>1</xm:f>
              </x14:cfvo>
              <x14:axisColor indexed="65"/>
            </x14:dataBar>
          </x14:cfRule>
          <x14:cfRule type="dataBar" id="{d842f337-be2b-4ddd-aec6-41cd66fa153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b6816a42-ff2a-4f11-beb0-6f2a8e77605d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F67 F77 F87 F97 F107 F117 F127 F137 F147 F157 F167 F177</xm:sqref>
        </x14:conditionalFormatting>
        <x14:conditionalFormatting xmlns:xm="http://schemas.microsoft.com/office/excel/2006/main">
          <x14:cfRule type="dataBar" id="{44ab21ed-40fd-4816-b690-93c0ce8ede0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f762d2f-bcfb-44e4-9975-728c71e7802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K67:K77 K83:K97 K103:K117 K123:K137 K143:K157 K163:K177 K183:K186</xm:sqref>
        </x14:conditionalFormatting>
        <x14:conditionalFormatting xmlns:xm="http://schemas.microsoft.com/office/excel/2006/main">
          <x14:cfRule type="dataBar" id="{af3dccdd-07f0-40c8-83ea-21a3fee232b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Y67:Y77 Y83:Y97 Y103:Y120 Y123:Y139 Y143:Y158 Y163:Y177 Y183:Y186</xm:sqref>
        </x14:conditionalFormatting>
        <x14:conditionalFormatting xmlns:xm="http://schemas.microsoft.com/office/excel/2006/main">
          <x14:cfRule type="dataBar" id="{f7b110bb-9790-4d0d-8139-140a818cffdb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5ba520d9-c72b-4e5f-86e8-bba8b29380f5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AB67 AB87 AB107 AB127 AB147 AB167</xm:sqref>
        </x14:conditionalFormatting>
        <x14:conditionalFormatting xmlns:xm="http://schemas.microsoft.com/office/excel/2006/main">
          <x14:cfRule type="dataBar" id="{da491c53-d03c-4bf2-b9ef-9823ffd2884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13738b4b-240a-488f-b083-178f2b5e040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AB67:AB77 AB83:AB97 AB103:AB120 AB123:AB139 AB143:AB158 AB163:AB177 AB183:AB186</xm:sqref>
        </x14:conditionalFormatting>
        <x14:conditionalFormatting xmlns:xm="http://schemas.microsoft.com/office/excel/2006/main">
          <x14:cfRule type="dataBar" id="{ba0c5448-d32a-4675-9089-76b81e755493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AB67:AB77 AB83:AB97 AB103:AB117 AB123:AB137 AB143:AB157 AB163:AB177 AB183:AB186</xm:sqref>
        </x14:conditionalFormatting>
        <x14:conditionalFormatting xmlns:xm="http://schemas.microsoft.com/office/excel/2006/main">
          <x14:cfRule type="dataBar" id="{8f451540-f630-4265-bc19-82120acc6706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7181710-2ecf-4e19-93a6-ef82998c0bfa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K78:K82 K98:K102 K118:K122 K138:K142 K158:K162 K178:K182</xm:sqref>
        </x14:conditionalFormatting>
        <x14:conditionalFormatting xmlns:xm="http://schemas.microsoft.com/office/excel/2006/main">
          <x14:cfRule type="dataBar" id="{fd8c2d4f-9ca3-4f1a-b1b0-d72889cc5208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Y78:Y82 Y98:Y102 Y118:Y122 Y138:Y142 Y158:Y162 Y178:Y182</xm:sqref>
        </x14:conditionalFormatting>
        <x14:conditionalFormatting xmlns:xm="http://schemas.microsoft.com/office/excel/2006/main">
          <x14:cfRule type="dataBar" id="{76a5327a-5948-46e7-9077-382bdfd2f83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47b64aed-da21-47f3-9440-c77a8fc347b9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581c8166-3232-4450-85b6-505e48de7565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AB78:AB82 AB98:AB102 AB118:AB122 AB138:AB142 AB158:AB162 AB178:AB182</xm:sqref>
        </x14:conditionalFormatting>
        <x14:conditionalFormatting xmlns:xm="http://schemas.microsoft.com/office/excel/2006/main">
          <x14:cfRule type="dataBar" id="{407d13e1-aff9-41d1-8dc7-a8428c93ebec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1d7204ba-4c9e-42e0-b4cc-31eadfa107ab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fc2afdd3-dc76-469e-9597-311e18cdc97b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F187 F192 F197 F202</xm:sqref>
        </x14:conditionalFormatting>
        <x14:conditionalFormatting xmlns:xm="http://schemas.microsoft.com/office/excel/2006/main">
          <x14:cfRule type="dataBar" id="{9fcb19b0-7885-49b2-b8e5-84a1f0c644d0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14:cfRule type="dataBar" id="{62bf14c4-f22e-4706-aca6-3c89b91e71e1}">
            <x14:dataBar minLength="10" maxLength="90" negativeBarColorSameAsPositive="1" axisPosition="none">
              <x14:cfvo type="min"/>
              <x14:cfvo type="num">
                <xm:f>1</xm:f>
              </x14:cfvo>
              <x14:axisColor indexed="65"/>
            </x14:dataBar>
          </x14:cfRule>
          <xm:sqref>K187 K192 K197 K202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J15" sqref="J15"/>
    </sheetView>
  </sheetViews>
  <sheetFormatPr defaultColWidth="9" defaultRowHeight="14" outlineLevelRow="5"/>
  <cols>
    <col min="1" max="1" width="26.8818181818182" style="1" customWidth="1"/>
    <col min="2" max="2" width="9.38181818181818" style="1" customWidth="1"/>
    <col min="3" max="3" width="9.21818181818182" style="1" customWidth="1"/>
    <col min="18" max="18" width="9.38181818181818" style="1" customWidth="1"/>
  </cols>
  <sheetData>
    <row r="1" spans="1:18">
      <c r="A1" s="2" t="s">
        <v>469</v>
      </c>
      <c r="B1" s="3" t="s">
        <v>470</v>
      </c>
      <c r="C1" s="3" t="s">
        <v>471</v>
      </c>
      <c r="D1" s="3" t="s">
        <v>472</v>
      </c>
      <c r="E1" s="3" t="s">
        <v>473</v>
      </c>
      <c r="F1" s="3" t="s">
        <v>474</v>
      </c>
      <c r="G1" s="3" t="s">
        <v>475</v>
      </c>
      <c r="H1" s="3" t="s">
        <v>476</v>
      </c>
      <c r="I1" s="3" t="s">
        <v>477</v>
      </c>
      <c r="J1" s="3" t="s">
        <v>478</v>
      </c>
      <c r="K1" s="3" t="s">
        <v>479</v>
      </c>
      <c r="L1" s="3" t="s">
        <v>480</v>
      </c>
      <c r="M1" s="3" t="s">
        <v>481</v>
      </c>
      <c r="N1" s="3" t="s">
        <v>482</v>
      </c>
      <c r="O1" s="3" t="s">
        <v>483</v>
      </c>
      <c r="P1" s="3" t="s">
        <v>484</v>
      </c>
      <c r="Q1" s="3" t="s">
        <v>485</v>
      </c>
      <c r="R1" s="3" t="s">
        <v>486</v>
      </c>
    </row>
    <row r="2" spans="1:18">
      <c r="A2" s="3" t="s">
        <v>487</v>
      </c>
      <c r="B2" s="4">
        <v>36.11</v>
      </c>
      <c r="C2" s="4">
        <v>47.21</v>
      </c>
      <c r="D2" s="5">
        <v>79.76</v>
      </c>
      <c r="E2" s="5">
        <v>80.65</v>
      </c>
      <c r="F2" s="5">
        <v>80.27</v>
      </c>
      <c r="G2" s="5">
        <v>78.83</v>
      </c>
      <c r="H2" s="5">
        <v>79.23</v>
      </c>
      <c r="I2" s="5">
        <v>78.95</v>
      </c>
      <c r="J2" s="5">
        <v>79.46</v>
      </c>
      <c r="K2" s="5">
        <v>78.25</v>
      </c>
      <c r="L2" s="5">
        <v>78.23</v>
      </c>
      <c r="M2" s="5">
        <v>80.08</v>
      </c>
      <c r="N2" s="5">
        <v>79.28</v>
      </c>
      <c r="O2" s="5">
        <v>79.3</v>
      </c>
      <c r="P2" s="5">
        <v>79.38</v>
      </c>
      <c r="Q2" s="5">
        <v>79.48</v>
      </c>
      <c r="R2" s="3"/>
    </row>
    <row r="3" spans="1:18">
      <c r="A3" s="3" t="s">
        <v>488</v>
      </c>
      <c r="B3" s="6">
        <v>12689.5</v>
      </c>
      <c r="C3" s="6">
        <v>16615.58</v>
      </c>
      <c r="D3" s="7">
        <v>801.22</v>
      </c>
      <c r="E3" s="7">
        <v>807.87</v>
      </c>
      <c r="F3" s="7">
        <v>803.82</v>
      </c>
      <c r="G3" s="7">
        <v>790.36</v>
      </c>
      <c r="H3" s="7">
        <v>799.66</v>
      </c>
      <c r="I3" s="7">
        <v>791.34</v>
      </c>
      <c r="J3" s="7">
        <v>795.61</v>
      </c>
      <c r="K3" s="7">
        <v>783.56</v>
      </c>
      <c r="L3" s="7">
        <v>784.22</v>
      </c>
      <c r="M3" s="7">
        <v>802.77</v>
      </c>
      <c r="N3" s="7">
        <v>806.57</v>
      </c>
      <c r="O3" s="7">
        <v>794.49</v>
      </c>
      <c r="P3" s="7">
        <v>801.54</v>
      </c>
      <c r="Q3" s="7">
        <v>795.54</v>
      </c>
      <c r="R3" s="8">
        <f>SUM(B3:Q3)</f>
        <v>40463.65</v>
      </c>
    </row>
    <row r="4" ht="28" customHeight="1" spans="1:18">
      <c r="A4" s="9" t="s">
        <v>489</v>
      </c>
      <c r="B4" s="7">
        <f t="shared" ref="B4:O4" si="0">B3*0.86/1000</f>
        <v>10.91297</v>
      </c>
      <c r="C4" s="7">
        <f t="shared" si="0"/>
        <v>14.2893988</v>
      </c>
      <c r="D4" s="7">
        <f t="shared" si="0"/>
        <v>0.6890492</v>
      </c>
      <c r="E4" s="7">
        <f t="shared" si="0"/>
        <v>0.6947682</v>
      </c>
      <c r="F4" s="7">
        <f t="shared" si="0"/>
        <v>0.6912852</v>
      </c>
      <c r="G4" s="7">
        <f t="shared" si="0"/>
        <v>0.6797096</v>
      </c>
      <c r="H4" s="7">
        <f t="shared" si="0"/>
        <v>0.6877076</v>
      </c>
      <c r="I4" s="7">
        <f t="shared" si="0"/>
        <v>0.6805524</v>
      </c>
      <c r="J4" s="7">
        <f t="shared" si="0"/>
        <v>0.6842246</v>
      </c>
      <c r="K4" s="7">
        <f t="shared" si="0"/>
        <v>0.6738616</v>
      </c>
      <c r="L4" s="7">
        <f t="shared" si="0"/>
        <v>0.6744292</v>
      </c>
      <c r="M4" s="7">
        <f t="shared" si="0"/>
        <v>0.6903822</v>
      </c>
      <c r="N4" s="7">
        <f t="shared" si="0"/>
        <v>0.6936502</v>
      </c>
      <c r="O4" s="7">
        <f t="shared" si="0"/>
        <v>0.6832614</v>
      </c>
      <c r="P4" s="7">
        <v>0.63</v>
      </c>
      <c r="Q4" s="7">
        <v>0.62</v>
      </c>
      <c r="R4" s="8">
        <f>SUM(B4:Q4)</f>
        <v>34.6752502</v>
      </c>
    </row>
    <row r="6" spans="1:18">
      <c r="A6" t="s">
        <v>490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本班组</vt:lpstr>
      <vt:lpstr>油量附表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梅冰冰</dc:creator>
  <cp:lastModifiedBy>皮皮瞎</cp:lastModifiedBy>
  <dcterms:created xsi:type="dcterms:W3CDTF">2020-05-01T14:43:00Z</dcterms:created>
  <dcterms:modified xsi:type="dcterms:W3CDTF">2026-04-16T07:51:59Z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false</vt:bool>
  </property>
  <property fmtid="{D5CDD505-2E9C-101B-9397-08002B2CF9AE}" pid="4" name="ICV">
    <vt:lpwstr>DF80DC6E670A415A8F2FBD3B54B72C3C_13</vt:lpwstr>
  </property>
  <property fmtid="{D5CDD505-2E9C-101B-9397-08002B2CF9AE}" pid="5" name="CalculationRule">
    <vt:i4>0</vt:i4>
  </property>
</Properties>
</file>