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本班组" sheetId="1" r:id="rId1"/>
    <sheet name="油量附表" sheetId="2" r:id="rId2"/>
  </sheets>
  <definedNames>
    <definedName name="欧0">本班组!$U$17</definedName>
    <definedName name="_xlnm.Print_Area" localSheetId="0">本班组!$A$2:$AG$154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何玲珑</author>
  </authors>
  <commentList>
    <comment ref="U16" authorId="0">
      <text>
        <r>
          <rPr>
            <sz val="10"/>
            <rFont val="宋体"/>
            <charset val="134"/>
          </rPr>
          <t>Dell:
工程组态-系统总览-点中燃油系统-测点信息</t>
        </r>
      </text>
    </comment>
    <comment ref="AD35" authorId="1">
      <text>
        <r>
          <rPr>
            <sz val="10"/>
            <rFont val="宋体"/>
            <charset val="134"/>
          </rPr>
          <t>何玲珑:
以水处理厂家药剂处理而定</t>
        </r>
      </text>
    </comment>
  </commentList>
</comments>
</file>

<file path=xl/sharedStrings.xml><?xml version="1.0" encoding="utf-8"?>
<sst xmlns="http://schemas.openxmlformats.org/spreadsheetml/2006/main" count="680" uniqueCount="387">
  <si>
    <t>班次</t>
  </si>
  <si>
    <t>天气：</t>
  </si>
  <si>
    <t>室外温度（℃）：</t>
  </si>
  <si>
    <t>室外湿度：</t>
  </si>
  <si>
    <t>室外湿球温度（℃）：</t>
  </si>
  <si>
    <t>一、【本班遗留故障情况】</t>
  </si>
  <si>
    <t>编号</t>
  </si>
  <si>
    <t>发生日期</t>
  </si>
  <si>
    <t>楼栋</t>
  </si>
  <si>
    <t>专业</t>
  </si>
  <si>
    <t>故障内容</t>
  </si>
  <si>
    <t>责任人</t>
  </si>
  <si>
    <t>等级</t>
  </si>
  <si>
    <t>遗留时长</t>
  </si>
  <si>
    <t>备注</t>
  </si>
  <si>
    <t>/</t>
  </si>
  <si>
    <t>二、【交接班组】</t>
  </si>
  <si>
    <t>FM运维值班团队</t>
  </si>
  <si>
    <t>交班:</t>
  </si>
  <si>
    <t>接班：</t>
  </si>
  <si>
    <t>晨会到场工程师</t>
  </si>
  <si>
    <t>应急人员（15min）</t>
  </si>
  <si>
    <t>三、【监控中心当前运营状态】</t>
  </si>
  <si>
    <t>接班未恢复告警：0</t>
  </si>
  <si>
    <t>告警总数</t>
  </si>
  <si>
    <t>变化率：</t>
  </si>
  <si>
    <t>告警原因：</t>
  </si>
  <si>
    <t>交班未恢复告警：0</t>
  </si>
  <si>
    <t>四、【电气】</t>
  </si>
  <si>
    <t>E楼</t>
  </si>
  <si>
    <t>线路名称</t>
  </si>
  <si>
    <t>8小时平均功率</t>
  </si>
  <si>
    <t>平均负载率</t>
  </si>
  <si>
    <t>变化率</t>
  </si>
  <si>
    <t>A区油罐</t>
  </si>
  <si>
    <t>B区油罐</t>
  </si>
  <si>
    <t>10kVⅠ 段</t>
  </si>
  <si>
    <t>KW</t>
  </si>
  <si>
    <t>室外柴发储油罐</t>
  </si>
  <si>
    <t>交班油量（L）</t>
  </si>
  <si>
    <t>10kVⅡ 段</t>
  </si>
  <si>
    <t>本班油量（L）</t>
  </si>
  <si>
    <t>10kVⅢ 段</t>
  </si>
  <si>
    <t>10kVⅣ 段</t>
  </si>
  <si>
    <t>供油可用时长（H）</t>
  </si>
  <si>
    <t>变压器负载率（MAX）</t>
  </si>
  <si>
    <t>燃油当前总储量（T）</t>
  </si>
  <si>
    <t>HVDC负载率（MAX）</t>
  </si>
  <si>
    <t>柴发带载百分比（max）</t>
  </si>
  <si>
    <t>UPS负载率（MAX）</t>
  </si>
  <si>
    <t>柴发自动状态（台）</t>
  </si>
  <si>
    <t>自动</t>
  </si>
  <si>
    <t>手动</t>
  </si>
  <si>
    <t>五、【暖通】</t>
  </si>
  <si>
    <t>制冷单元系统</t>
  </si>
  <si>
    <t>西区</t>
  </si>
  <si>
    <t>东区</t>
  </si>
  <si>
    <t>制冷量（KW）</t>
  </si>
  <si>
    <t>一次流量（m³/h）</t>
  </si>
  <si>
    <t>二次流量（m³/h）</t>
  </si>
  <si>
    <t>蓄冷流量（m³/h）</t>
  </si>
  <si>
    <t>蓄冷罐可用时长(分钟）</t>
  </si>
  <si>
    <t>西区：</t>
  </si>
  <si>
    <t>机组编号</t>
  </si>
  <si>
    <t>2#制冷单元 →板换模式</t>
  </si>
  <si>
    <t>5#制冷单元 →板换模式</t>
  </si>
  <si>
    <t>东区：</t>
  </si>
  <si>
    <t>设备</t>
  </si>
  <si>
    <t>冷机</t>
  </si>
  <si>
    <t>冷塔</t>
  </si>
  <si>
    <t>冷却泵</t>
  </si>
  <si>
    <t>一次泵</t>
  </si>
  <si>
    <t>板换</t>
  </si>
  <si>
    <t>补水可用时间（H）</t>
  </si>
  <si>
    <t>运行负荷</t>
  </si>
  <si>
    <t>冷却进水温度(℃)</t>
  </si>
  <si>
    <t>冷却进水压力（Mpa）</t>
  </si>
  <si>
    <t>本月总用水量m3</t>
  </si>
  <si>
    <t>冷冻水供水温度
(℃)</t>
  </si>
  <si>
    <t>频率(HZ)</t>
  </si>
  <si>
    <t>1#</t>
  </si>
  <si>
    <t>2#</t>
  </si>
  <si>
    <t>冷却出水温度(℃)</t>
  </si>
  <si>
    <t>冷却出水压力（Mpa）</t>
  </si>
  <si>
    <t>补水罐液位
西m</t>
  </si>
  <si>
    <t>冷却水进水温度
(℃)</t>
  </si>
  <si>
    <t>冷塔温度
设定值</t>
  </si>
  <si>
    <t>进水压力(Mpa)</t>
  </si>
  <si>
    <t>冷冻进水温度(℃)</t>
  </si>
  <si>
    <t>冷却进出水压差（Mpa）</t>
  </si>
  <si>
    <t>补水罐液位
东m</t>
  </si>
  <si>
    <t>冷凝压力
(Kpa)</t>
  </si>
  <si>
    <t>进水温度(℃)</t>
  </si>
  <si>
    <t>出水压力(Mpa)</t>
  </si>
  <si>
    <t>冷冻出水温度(℃)</t>
  </si>
  <si>
    <t>冷冻进水压力（Mpa）</t>
  </si>
  <si>
    <t>补水罐总储备量m3</t>
  </si>
  <si>
    <t>蒸发器小温差（℃）</t>
  </si>
  <si>
    <t>出水温度(℃)</t>
  </si>
  <si>
    <t>PH</t>
  </si>
  <si>
    <t>板换小温差（℃）</t>
  </si>
  <si>
    <t>冷冻出水压力（Mpa）</t>
  </si>
  <si>
    <t>暖通主要控制点
（依据实际控制点进行确定）</t>
  </si>
  <si>
    <t>冷凝器小温差（℃）</t>
  </si>
  <si>
    <t>电导率us/cm</t>
  </si>
  <si>
    <t>冷冻进出水压差（Mpa）</t>
  </si>
  <si>
    <t>单元 → 模式</t>
  </si>
  <si>
    <t>≤3</t>
  </si>
  <si>
    <t>PH（25℃）</t>
  </si>
  <si>
    <t>7.5-9.0</t>
  </si>
  <si>
    <t>＜1500</t>
  </si>
  <si>
    <t>包间温度（℃）</t>
  </si>
  <si>
    <t>24±2</t>
  </si>
  <si>
    <t>包间湿度（%）</t>
  </si>
  <si>
    <t>30-60</t>
  </si>
  <si>
    <t>电池间温度（℃）</t>
  </si>
  <si>
    <t>15-25</t>
  </si>
  <si>
    <t>制冷冗余</t>
  </si>
  <si>
    <t>1用2备</t>
  </si>
  <si>
    <t>二次泵系统</t>
  </si>
  <si>
    <t>主DDC
运行状态</t>
  </si>
  <si>
    <t>启用</t>
  </si>
  <si>
    <t>末端压差设定值</t>
  </si>
  <si>
    <t>末端压差最小值(Mpa)</t>
  </si>
  <si>
    <t>末端压差最大值(Mpa)</t>
  </si>
  <si>
    <t>末端压差设定值(Mpa)</t>
  </si>
  <si>
    <t>备DDC
运行状态</t>
  </si>
  <si>
    <t>备用</t>
  </si>
  <si>
    <t>2#二次泵</t>
  </si>
  <si>
    <t>5#二次泵</t>
  </si>
  <si>
    <t>频率
（Hz）</t>
  </si>
  <si>
    <t>二次泵进口压力（Mpa）</t>
  </si>
  <si>
    <t>二次泵出口压力（Mpa）</t>
  </si>
  <si>
    <t>压差
（Mpa）</t>
  </si>
  <si>
    <t>二次泵
冗余</t>
  </si>
  <si>
    <t>六、【设备变更】</t>
  </si>
  <si>
    <t>七、【施工情况】</t>
  </si>
  <si>
    <t>八、【MOP维保】</t>
  </si>
  <si>
    <t>九、【消防报警】</t>
  </si>
  <si>
    <t>十、【容量管理】</t>
  </si>
  <si>
    <t>110KV变电站</t>
  </si>
  <si>
    <t>机柜总数</t>
  </si>
  <si>
    <t>已上电机柜数</t>
  </si>
  <si>
    <t>IT机柜总
上电率</t>
  </si>
  <si>
    <t>进线</t>
  </si>
  <si>
    <t>线电压</t>
  </si>
  <si>
    <t>电流</t>
  </si>
  <si>
    <t>当前功率KW</t>
  </si>
  <si>
    <t>功率因数</t>
  </si>
  <si>
    <t>负载率</t>
  </si>
  <si>
    <t>每日用水量m3</t>
  </si>
  <si>
    <t>每日用电量kwh</t>
  </si>
  <si>
    <t>本月用电量kwh</t>
  </si>
  <si>
    <t>阿开</t>
  </si>
  <si>
    <t>阿家</t>
  </si>
  <si>
    <t>输出电流</t>
  </si>
  <si>
    <t>总功率KW</t>
  </si>
  <si>
    <t>IT总功率KW</t>
  </si>
  <si>
    <t>PUE</t>
  </si>
  <si>
    <t>IT规划负载</t>
  </si>
  <si>
    <t>IT实际负载</t>
  </si>
  <si>
    <t>IT负载率</t>
  </si>
  <si>
    <t>1#主变</t>
  </si>
  <si>
    <t>2#主变</t>
  </si>
  <si>
    <t>3#主变</t>
  </si>
  <si>
    <t>4#主变</t>
  </si>
  <si>
    <t>配电间</t>
  </si>
  <si>
    <t>变压器</t>
  </si>
  <si>
    <t>状态</t>
  </si>
  <si>
    <t>温度℃</t>
  </si>
  <si>
    <t>功率KW</t>
  </si>
  <si>
    <t>负载率%</t>
  </si>
  <si>
    <t>母联状态</t>
  </si>
  <si>
    <t>UPS</t>
  </si>
  <si>
    <t>输出功率KW</t>
  </si>
  <si>
    <t>运行
状态</t>
  </si>
  <si>
    <t>电池正极电压V</t>
  </si>
  <si>
    <t>输出电压V</t>
  </si>
  <si>
    <t>HVDC</t>
  </si>
  <si>
    <t>浮充电压V</t>
  </si>
  <si>
    <t>输出功率kw</t>
  </si>
  <si>
    <t>直流列头柜</t>
  </si>
  <si>
    <t>机房</t>
  </si>
  <si>
    <t>机房IT负载KW</t>
  </si>
  <si>
    <t>IT负载率%</t>
  </si>
  <si>
    <t>机柜总量</t>
  </si>
  <si>
    <t>已上电机柜量</t>
  </si>
  <si>
    <t>机柜上电率</t>
  </si>
  <si>
    <t>空调启台数</t>
  </si>
  <si>
    <t>空调冗余台数</t>
  </si>
  <si>
    <t>空调负载KW</t>
  </si>
  <si>
    <t>M1</t>
  </si>
  <si>
    <t>-245-TR101</t>
  </si>
  <si>
    <t>正常</t>
  </si>
  <si>
    <t>自投自复</t>
  </si>
  <si>
    <t>-245-UPS-101</t>
  </si>
  <si>
    <t>-245-HVDC-111</t>
  </si>
  <si>
    <t>-202-RPP-DC-1</t>
  </si>
  <si>
    <t>南侧</t>
  </si>
  <si>
    <t>-245-HVDC-121</t>
  </si>
  <si>
    <t>-202-RPP-DC-3</t>
  </si>
  <si>
    <t>-245-HVDC-131</t>
  </si>
  <si>
    <t>-202-RPP-DC-5</t>
  </si>
  <si>
    <t>-245-HVDC-141</t>
  </si>
  <si>
    <t>-202-RPP-DC-7</t>
  </si>
  <si>
    <t xml:space="preserve"> -245-HVDC-151</t>
  </si>
  <si>
    <t>-202-RPP-DC-9</t>
  </si>
  <si>
    <t>-245-TR102</t>
  </si>
  <si>
    <t xml:space="preserve"> -245-HVDC-211</t>
  </si>
  <si>
    <t>-202-RPP-DC-2</t>
  </si>
  <si>
    <t>北侧</t>
  </si>
  <si>
    <t xml:space="preserve"> -245-HVDC-221</t>
  </si>
  <si>
    <t>-202-RPP-DC-4</t>
  </si>
  <si>
    <t xml:space="preserve"> -245-HVDC-231</t>
  </si>
  <si>
    <t>-202-RPP-DC-6</t>
  </si>
  <si>
    <t xml:space="preserve"> -245-HVDC-241</t>
  </si>
  <si>
    <t>-202-RPP-DC-8</t>
  </si>
  <si>
    <t xml:space="preserve"> -245-HVDC-251</t>
  </si>
  <si>
    <t>-202-RPP-DC-10</t>
  </si>
  <si>
    <t>M2</t>
  </si>
  <si>
    <t>-218-TR201</t>
  </si>
  <si>
    <t>-218-UPS-101</t>
  </si>
  <si>
    <t xml:space="preserve"> -218-HVDC-111</t>
  </si>
  <si>
    <t>-201-RPP-DC-1</t>
  </si>
  <si>
    <t xml:space="preserve"> -218-HVDC-121</t>
  </si>
  <si>
    <t>-201-RPP-DC-3</t>
  </si>
  <si>
    <t xml:space="preserve"> -218-HVDC-131</t>
  </si>
  <si>
    <t>-201-RPP-DC-5</t>
  </si>
  <si>
    <t xml:space="preserve"> -218-HVDC-141</t>
  </si>
  <si>
    <t>-201-RPP-DC-7</t>
  </si>
  <si>
    <t xml:space="preserve"> -218-HVDC-151</t>
  </si>
  <si>
    <t>-201-RPP-DC-9</t>
  </si>
  <si>
    <t>-218-TR202</t>
  </si>
  <si>
    <t xml:space="preserve"> -218-HVDC-211</t>
  </si>
  <si>
    <t>-201-RPP-DC-2</t>
  </si>
  <si>
    <t xml:space="preserve"> -218-HVDC-221</t>
  </si>
  <si>
    <t>-201-RPP-DC-4</t>
  </si>
  <si>
    <t xml:space="preserve"> -218-HVDC-231</t>
  </si>
  <si>
    <t>-201-RPP-DC-6</t>
  </si>
  <si>
    <t xml:space="preserve"> -218-HVDC-241</t>
  </si>
  <si>
    <t>-201-RPP-DC-8</t>
  </si>
  <si>
    <t xml:space="preserve"> -218-HVDC-251</t>
  </si>
  <si>
    <t>-201-RPP-DC-10</t>
  </si>
  <si>
    <t>M3</t>
  </si>
  <si>
    <t>-345-TR101</t>
  </si>
  <si>
    <t>-345-UPS-101</t>
  </si>
  <si>
    <t xml:space="preserve"> -345-HVDC-111</t>
  </si>
  <si>
    <t>-302-RPP-DC-1</t>
  </si>
  <si>
    <t xml:space="preserve"> -345-HVDC-121</t>
  </si>
  <si>
    <t>-302-RPP-DC-3</t>
  </si>
  <si>
    <t xml:space="preserve"> -345-HVDC-131</t>
  </si>
  <si>
    <t>-302-RPP-DC-5</t>
  </si>
  <si>
    <t xml:space="preserve"> -345-HVDC-141</t>
  </si>
  <si>
    <t>-302-RPP-DC-7</t>
  </si>
  <si>
    <t xml:space="preserve"> -345-HVDC-151</t>
  </si>
  <si>
    <t>-302-RPP-DC-9</t>
  </si>
  <si>
    <t xml:space="preserve"> -345-HVDC-161</t>
  </si>
  <si>
    <t>-302-RPP-DC-11</t>
  </si>
  <si>
    <t xml:space="preserve"> -345-HVDC-171</t>
  </si>
  <si>
    <t>-302-RPP-DC-13</t>
  </si>
  <si>
    <t>-345-TR102</t>
  </si>
  <si>
    <t xml:space="preserve"> -345-HVDC-211</t>
  </si>
  <si>
    <t>-302-RPP-DC-2</t>
  </si>
  <si>
    <t xml:space="preserve"> -345-HVDC-221</t>
  </si>
  <si>
    <t>-302-RPP-DC-4</t>
  </si>
  <si>
    <t xml:space="preserve"> -345-HVDC-231</t>
  </si>
  <si>
    <t>-302-RPP-DC-6</t>
  </si>
  <si>
    <t xml:space="preserve"> -345-HVDC-241</t>
  </si>
  <si>
    <t>-302-RPP-DC-8</t>
  </si>
  <si>
    <t xml:space="preserve"> -345-HVDC-251</t>
  </si>
  <si>
    <t>-302-RPP-DC-10</t>
  </si>
  <si>
    <t xml:space="preserve"> -345-HVDC-261</t>
  </si>
  <si>
    <t>-302-RPP-DC-12</t>
  </si>
  <si>
    <t xml:space="preserve"> -345-HVDC-271</t>
  </si>
  <si>
    <t>-302-RPP-DC-14</t>
  </si>
  <si>
    <t>M4</t>
  </si>
  <si>
    <t>-317-TR201</t>
  </si>
  <si>
    <t>-317-UPS-101</t>
  </si>
  <si>
    <t xml:space="preserve"> -317-HVDC-111</t>
  </si>
  <si>
    <t>-301-RPP-DC-1</t>
  </si>
  <si>
    <t xml:space="preserve"> -317-HVDC-121</t>
  </si>
  <si>
    <t>-301-RPP-DC-3</t>
  </si>
  <si>
    <t xml:space="preserve"> -317-HVDC-131</t>
  </si>
  <si>
    <t>-301-RPP-DC-5</t>
  </si>
  <si>
    <t xml:space="preserve"> -317-HVDC-141</t>
  </si>
  <si>
    <t>-301-RPP-DC-7</t>
  </si>
  <si>
    <t xml:space="preserve"> -317-HVDC-151</t>
  </si>
  <si>
    <t>-301-RPP-DC-9</t>
  </si>
  <si>
    <t xml:space="preserve"> -317-HVDC-161</t>
  </si>
  <si>
    <t>-301-RPP-DC-11</t>
  </si>
  <si>
    <t xml:space="preserve"> -317-HVDC-171</t>
  </si>
  <si>
    <t>-301-RPP-DC-13</t>
  </si>
  <si>
    <t>-317-TR202</t>
  </si>
  <si>
    <t xml:space="preserve"> -317-HVDC-211</t>
  </si>
  <si>
    <t>-301-RPP-DC-2</t>
  </si>
  <si>
    <t xml:space="preserve"> -317-HVDC-221</t>
  </si>
  <si>
    <t>-301-RPP-DC-4</t>
  </si>
  <si>
    <t xml:space="preserve"> -317-HVDC-231</t>
  </si>
  <si>
    <t>-301-RPP-DC-6</t>
  </si>
  <si>
    <t xml:space="preserve"> -317-HVDC-241</t>
  </si>
  <si>
    <t>-301-RPP-DC-8</t>
  </si>
  <si>
    <t xml:space="preserve"> -317-HVDC-251</t>
  </si>
  <si>
    <t>-301-RPP-DC-10</t>
  </si>
  <si>
    <t xml:space="preserve"> -317-HVDC-261</t>
  </si>
  <si>
    <t>-301-RPP-DC-12</t>
  </si>
  <si>
    <t xml:space="preserve"> -317-HVDC-271</t>
  </si>
  <si>
    <t>-301-RPP-DC-14</t>
  </si>
  <si>
    <t>M5</t>
  </si>
  <si>
    <t>-445-TR101</t>
  </si>
  <si>
    <t>-445-UPS-101</t>
  </si>
  <si>
    <t>-445-HVDC-111</t>
  </si>
  <si>
    <t>-402-RPP-DC-1</t>
  </si>
  <si>
    <t>-445-HVDC-121</t>
  </si>
  <si>
    <t>-402-RPP-DC-3</t>
  </si>
  <si>
    <t>-445-HVDC-131</t>
  </si>
  <si>
    <t>-402-RPP-DC-5</t>
  </si>
  <si>
    <t>-445-HVDC-141</t>
  </si>
  <si>
    <t>-402-RPP-DC-7</t>
  </si>
  <si>
    <t>-445-HVDC-151</t>
  </si>
  <si>
    <t>-402-RPP-DC-9</t>
  </si>
  <si>
    <t>-445-TR102</t>
  </si>
  <si>
    <t>-445-HVDC-211</t>
  </si>
  <si>
    <t>-402-RPP-DC-2</t>
  </si>
  <si>
    <t>-445-HVDC-221</t>
  </si>
  <si>
    <t>-402-RPP-DC-4</t>
  </si>
  <si>
    <t>-445-HVDC-231</t>
  </si>
  <si>
    <t>-402-RPP-DC-6</t>
  </si>
  <si>
    <t>-445-HVDC-241</t>
  </si>
  <si>
    <t>-402-RPP-DC-8</t>
  </si>
  <si>
    <t>-445-HVDC-251</t>
  </si>
  <si>
    <t>-402-RPP-DC-10</t>
  </si>
  <si>
    <t>M6</t>
  </si>
  <si>
    <t>-417-TR201</t>
  </si>
  <si>
    <t>-417-UPS-101</t>
  </si>
  <si>
    <t>-417-HVDC-111</t>
  </si>
  <si>
    <t>-401-RPP-DC-1</t>
  </si>
  <si>
    <t>-417-HVDC-121</t>
  </si>
  <si>
    <t>-401-RPP-DC-3</t>
  </si>
  <si>
    <t>-417-HVDC-131</t>
  </si>
  <si>
    <t>-401-RPP-DC-5</t>
  </si>
  <si>
    <t>-417-HVDC-141</t>
  </si>
  <si>
    <t>-401-RPP-DC-7</t>
  </si>
  <si>
    <t>-417-HVDC-151</t>
  </si>
  <si>
    <t>-401-RPP-DC-9</t>
  </si>
  <si>
    <t>-417-TR202</t>
  </si>
  <si>
    <t>-417-HVDC-211</t>
  </si>
  <si>
    <t>-401-RPP-DC-2</t>
  </si>
  <si>
    <t>-417-HVDC-221</t>
  </si>
  <si>
    <t>-401-RPP-DC-4</t>
  </si>
  <si>
    <t>-417-HVDC-231</t>
  </si>
  <si>
    <t>-401-RPP-DC-6</t>
  </si>
  <si>
    <t>-417-HVDC-241</t>
  </si>
  <si>
    <t>-401-RPP-DC-8</t>
  </si>
  <si>
    <t>-417-HVDC-251</t>
  </si>
  <si>
    <t>-401-RPP-DC-10</t>
  </si>
  <si>
    <t>P1</t>
  </si>
  <si>
    <t>-144-TR101</t>
  </si>
  <si>
    <t>-144-UPS-101</t>
  </si>
  <si>
    <t>-144-TR102</t>
  </si>
  <si>
    <t>-144-UPS-201</t>
  </si>
  <si>
    <t>P2</t>
  </si>
  <si>
    <t>-120-TR201</t>
  </si>
  <si>
    <t>-120-UPS-101</t>
  </si>
  <si>
    <t>-120-TR202</t>
  </si>
  <si>
    <t>-120-UPS-201</t>
  </si>
  <si>
    <t>仅需修改绿色部分</t>
  </si>
  <si>
    <t>1#油罐</t>
  </si>
  <si>
    <t>2#油罐</t>
  </si>
  <si>
    <t>1#油箱</t>
  </si>
  <si>
    <t>2#油箱</t>
  </si>
  <si>
    <t>3#油箱</t>
  </si>
  <si>
    <t>4#油箱</t>
  </si>
  <si>
    <t>5#油箱</t>
  </si>
  <si>
    <t>6#油箱</t>
  </si>
  <si>
    <t>7#油箱</t>
  </si>
  <si>
    <t>8#油箱</t>
  </si>
  <si>
    <t>9#油箱</t>
  </si>
  <si>
    <t>10#油箱</t>
  </si>
  <si>
    <t>11#油箱</t>
  </si>
  <si>
    <t>12#油箱</t>
  </si>
  <si>
    <t>13#油箱</t>
  </si>
  <si>
    <t>14#油箱</t>
  </si>
  <si>
    <t>总油量</t>
  </si>
  <si>
    <t>油位cm</t>
  </si>
  <si>
    <t>储油量（L）</t>
  </si>
  <si>
    <t>储油量（t）(注：柴油密度取0.86kg/L)</t>
  </si>
  <si>
    <t>罐储油量参照表：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</si>
</sst>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0.0_ "/>
  </numFmts>
  <fonts count="4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等线"/>
      <charset val="134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6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color theme="1"/>
      <name val="宋体"/>
      <charset val="134"/>
      <scheme val="minor"/>
    </font>
    <font>
      <sz val="16"/>
      <color rgb="FFFFFFFF"/>
      <name val="等线"/>
      <charset val="134"/>
    </font>
    <font>
      <b/>
      <sz val="16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b/>
      <sz val="14"/>
      <color theme="0"/>
      <name val="宋体"/>
      <charset val="134"/>
      <scheme val="minor"/>
    </font>
    <font>
      <sz val="9"/>
      <color indexed="8"/>
      <name val="等线"/>
      <charset val="134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12" borderId="3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31">
      <alignment vertical="center"/>
    </xf>
    <xf numFmtId="0" fontId="29" fillId="0" borderId="31">
      <alignment vertical="center"/>
    </xf>
    <xf numFmtId="0" fontId="30" fillId="0" borderId="32">
      <alignment vertical="center"/>
    </xf>
    <xf numFmtId="0" fontId="30" fillId="0" borderId="0">
      <alignment vertical="center"/>
    </xf>
    <xf numFmtId="0" fontId="31" fillId="13" borderId="33">
      <alignment vertical="center"/>
    </xf>
    <xf numFmtId="0" fontId="32" fillId="14" borderId="34">
      <alignment vertical="center"/>
    </xf>
    <xf numFmtId="0" fontId="33" fillId="14" borderId="33">
      <alignment vertical="center"/>
    </xf>
    <xf numFmtId="0" fontId="34" fillId="15" borderId="35">
      <alignment vertical="center"/>
    </xf>
    <xf numFmtId="0" fontId="35" fillId="0" borderId="36">
      <alignment vertical="center"/>
    </xf>
    <xf numFmtId="0" fontId="36" fillId="0" borderId="37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1" fillId="20" borderId="0">
      <alignment vertical="center"/>
    </xf>
    <xf numFmtId="0" fontId="41" fillId="4" borderId="0">
      <alignment vertical="center"/>
    </xf>
    <xf numFmtId="0" fontId="40" fillId="21" borderId="0">
      <alignment vertical="center"/>
    </xf>
    <xf numFmtId="0" fontId="40" fillId="22" borderId="0">
      <alignment vertical="center"/>
    </xf>
    <xf numFmtId="0" fontId="41" fillId="23" borderId="0">
      <alignment vertical="center"/>
    </xf>
    <xf numFmtId="0" fontId="41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41" fillId="27" borderId="0">
      <alignment vertical="center"/>
    </xf>
    <xf numFmtId="0" fontId="41" fillId="28" borderId="0">
      <alignment vertical="center"/>
    </xf>
    <xf numFmtId="0" fontId="40" fillId="29" borderId="0">
      <alignment vertical="center"/>
    </xf>
    <xf numFmtId="0" fontId="40" fillId="30" borderId="0">
      <alignment vertical="center"/>
    </xf>
    <xf numFmtId="0" fontId="41" fillId="31" borderId="0">
      <alignment vertical="center"/>
    </xf>
    <xf numFmtId="0" fontId="41" fillId="32" borderId="0">
      <alignment vertical="center"/>
    </xf>
    <xf numFmtId="0" fontId="40" fillId="33" borderId="0">
      <alignment vertical="center"/>
    </xf>
    <xf numFmtId="0" fontId="40" fillId="34" borderId="0">
      <alignment vertical="center"/>
    </xf>
    <xf numFmtId="0" fontId="41" fillId="35" borderId="0">
      <alignment vertical="center"/>
    </xf>
    <xf numFmtId="0" fontId="41" fillId="36" borderId="0">
      <alignment vertical="center"/>
    </xf>
    <xf numFmtId="0" fontId="40" fillId="37" borderId="0">
      <alignment vertical="center"/>
    </xf>
    <xf numFmtId="0" fontId="40" fillId="38" borderId="0">
      <alignment vertical="center"/>
    </xf>
    <xf numFmtId="0" fontId="41" fillId="39" borderId="0">
      <alignment vertical="center"/>
    </xf>
    <xf numFmtId="0" fontId="41" fillId="40" borderId="0">
      <alignment vertical="center"/>
    </xf>
    <xf numFmtId="0" fontId="40" fillId="41" borderId="0">
      <alignment vertical="center"/>
    </xf>
    <xf numFmtId="0" fontId="0" fillId="0" borderId="0">
      <alignment vertical="center"/>
    </xf>
  </cellStyleXfs>
  <cellXfs count="154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31" fontId="2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/>
    <xf numFmtId="3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9" fontId="0" fillId="3" borderId="1" xfId="3" applyFill="1" applyBorder="1" applyAlignment="1">
      <alignment horizontal="center" vertical="center"/>
    </xf>
    <xf numFmtId="0" fontId="0" fillId="0" borderId="7" xfId="0" applyBorder="1" applyAlignment="1"/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6" fillId="3" borderId="1" xfId="49" applyFont="1" applyFill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10" fontId="6" fillId="3" borderId="1" xfId="49" applyNumberFormat="1" applyFont="1" applyFill="1" applyBorder="1" applyAlignment="1">
      <alignment horizontal="center" vertical="center"/>
    </xf>
    <xf numFmtId="10" fontId="7" fillId="3" borderId="1" xfId="49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9" xfId="0" applyBorder="1" applyAlignment="1"/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178" fontId="7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/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/>
    <xf numFmtId="0" fontId="0" fillId="0" borderId="17" xfId="0" applyBorder="1" applyAlignment="1"/>
    <xf numFmtId="0" fontId="0" fillId="0" borderId="18" xfId="0" applyBorder="1" applyAlignment="1"/>
    <xf numFmtId="0" fontId="0" fillId="3" borderId="18" xfId="0" applyFill="1" applyBorder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/>
    <xf numFmtId="176" fontId="0" fillId="3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/>
    <xf numFmtId="0" fontId="0" fillId="0" borderId="4" xfId="0" applyNumberFormat="1" applyBorder="1" applyAlignment="1"/>
    <xf numFmtId="0" fontId="0" fillId="3" borderId="17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76" fontId="6" fillId="6" borderId="1" xfId="49" applyNumberFormat="1" applyFont="1" applyFill="1" applyBorder="1" applyAlignment="1">
      <alignment horizontal="center" vertical="center"/>
    </xf>
    <xf numFmtId="179" fontId="6" fillId="6" borderId="1" xfId="49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/>
    <xf numFmtId="0" fontId="0" fillId="0" borderId="7" xfId="0" applyNumberFormat="1" applyBorder="1" applyAlignment="1"/>
    <xf numFmtId="0" fontId="0" fillId="0" borderId="17" xfId="0" applyNumberFormat="1" applyBorder="1" applyAlignment="1"/>
    <xf numFmtId="0" fontId="0" fillId="0" borderId="2" xfId="0" applyNumberFormat="1" applyBorder="1" applyAlignment="1"/>
    <xf numFmtId="0" fontId="0" fillId="0" borderId="18" xfId="0" applyNumberFormat="1" applyBorder="1" applyAlignment="1"/>
    <xf numFmtId="176" fontId="6" fillId="6" borderId="1" xfId="49" applyNumberFormat="1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6" borderId="1" xfId="3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center" vertical="center"/>
    </xf>
    <xf numFmtId="0" fontId="0" fillId="0" borderId="21" xfId="0" applyBorder="1" applyAlignment="1"/>
    <xf numFmtId="0" fontId="12" fillId="8" borderId="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/>
    </xf>
    <xf numFmtId="10" fontId="14" fillId="9" borderId="20" xfId="0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/>
    <xf numFmtId="0" fontId="0" fillId="3" borderId="26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3" borderId="1" xfId="0" applyFill="1" applyBorder="1" applyAlignment="1">
      <alignment horizontal="center"/>
    </xf>
    <xf numFmtId="0" fontId="17" fillId="0" borderId="0" xfId="0" applyFont="1" applyAlignment="1">
      <alignment vertical="center"/>
    </xf>
    <xf numFmtId="0" fontId="0" fillId="3" borderId="23" xfId="0" applyFill="1" applyBorder="1" applyAlignment="1">
      <alignment horizontal="center" vertical="center" wrapText="1"/>
    </xf>
    <xf numFmtId="0" fontId="0" fillId="10" borderId="1" xfId="0" applyNumberFormat="1" applyFill="1" applyBorder="1" applyAlignment="1">
      <alignment horizontal="center" vertical="center"/>
    </xf>
    <xf numFmtId="10" fontId="14" fillId="9" borderId="0" xfId="0" applyNumberFormat="1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10" fontId="0" fillId="3" borderId="0" xfId="0" applyNumberFormat="1" applyFill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/>
    </xf>
    <xf numFmtId="49" fontId="22" fillId="11" borderId="1" xfId="0" applyNumberFormat="1" applyFont="1" applyFill="1" applyBorder="1" applyAlignment="1">
      <alignment horizontal="center" vertical="center"/>
    </xf>
    <xf numFmtId="49" fontId="1" fillId="3" borderId="29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3" borderId="14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4"/>
  <sheetViews>
    <sheetView tabSelected="1" view="pageBreakPreview" zoomScale="60" zoomScaleNormal="85" topLeftCell="A64" workbookViewId="0">
      <selection activeCell="O82" sqref="O82"/>
    </sheetView>
  </sheetViews>
  <sheetFormatPr defaultColWidth="9" defaultRowHeight="14"/>
  <cols>
    <col min="2" max="2" width="18.1818181818182" style="1" customWidth="1"/>
    <col min="3" max="3" width="9" style="1" customWidth="1"/>
    <col min="5" max="5" width="9" style="1" customWidth="1"/>
    <col min="6" max="6" width="11.9363636363636" style="1" customWidth="1"/>
    <col min="7" max="8" width="9" style="1" customWidth="1"/>
    <col min="9" max="9" width="16.4090909090909" style="1" customWidth="1"/>
    <col min="10" max="11" width="9" style="1" customWidth="1"/>
    <col min="12" max="12" width="11.9363636363636" style="1" customWidth="1"/>
    <col min="13" max="13" width="9" style="1" customWidth="1"/>
    <col min="14" max="14" width="8.74545454545455" style="1" customWidth="1"/>
    <col min="15" max="15" width="38.1818181818182" style="1" customWidth="1"/>
    <col min="16" max="18" width="9" style="1" customWidth="1"/>
    <col min="19" max="19" width="12.5909090909091" style="1" customWidth="1"/>
    <col min="20" max="20" width="16.5090909090909" style="1" customWidth="1"/>
    <col min="21" max="21" width="9" style="1" customWidth="1"/>
    <col min="22" max="22" width="14.1545454545455" style="1" customWidth="1"/>
    <col min="23" max="24" width="9" style="1" customWidth="1"/>
    <col min="25" max="25" width="10.2545454545455" style="1" customWidth="1"/>
    <col min="26" max="27" width="9" style="1" customWidth="1"/>
    <col min="28" max="28" width="17.4181818181818" style="1" customWidth="1"/>
    <col min="31" max="31" width="11" style="1" customWidth="1"/>
  </cols>
  <sheetData>
    <row r="1" ht="18.75" customHeight="1" spans="1:31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ht="18.75" customHeight="1" spans="1:31">
      <c r="A2" s="13" t="s">
        <v>0</v>
      </c>
      <c r="B2" s="14"/>
      <c r="C2" s="15"/>
      <c r="D2" s="16"/>
      <c r="E2" s="14"/>
      <c r="F2" s="14"/>
      <c r="G2" s="14"/>
      <c r="H2" s="15"/>
      <c r="I2" s="17" t="s">
        <v>1</v>
      </c>
      <c r="J2" s="18"/>
      <c r="K2" s="19"/>
      <c r="L2" s="20"/>
      <c r="M2" s="14"/>
      <c r="N2" s="15"/>
      <c r="O2" s="21" t="s">
        <v>2</v>
      </c>
      <c r="P2" s="14"/>
      <c r="Q2" s="15"/>
      <c r="R2" s="22"/>
      <c r="S2" s="14"/>
      <c r="T2" s="15"/>
      <c r="U2" s="21" t="s">
        <v>3</v>
      </c>
      <c r="V2" s="14"/>
      <c r="W2" s="15"/>
      <c r="X2" s="23"/>
      <c r="Y2" s="21" t="s">
        <v>4</v>
      </c>
      <c r="Z2" s="14"/>
      <c r="AA2" s="15"/>
      <c r="AB2" s="22"/>
      <c r="AC2" s="15"/>
      <c r="AD2" s="24"/>
      <c r="AE2" s="25"/>
    </row>
    <row r="3" ht="13.5" customHeight="1" spans="1:31">
      <c r="A3" s="26" t="s">
        <v>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/>
    </row>
    <row r="4" ht="18.75" customHeight="1" spans="1:31">
      <c r="A4" s="27"/>
      <c r="B4" s="28" t="s">
        <v>6</v>
      </c>
      <c r="C4" s="28" t="s">
        <v>7</v>
      </c>
      <c r="D4" s="15"/>
      <c r="E4" s="29" t="s">
        <v>8</v>
      </c>
      <c r="F4" s="14"/>
      <c r="G4" s="28" t="s">
        <v>9</v>
      </c>
      <c r="H4" s="15"/>
      <c r="I4" s="28" t="s">
        <v>10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8"/>
      <c r="Y4" s="14"/>
      <c r="Z4" s="15"/>
      <c r="AA4" s="28" t="s">
        <v>11</v>
      </c>
      <c r="AB4" s="28" t="s">
        <v>12</v>
      </c>
      <c r="AC4" s="28" t="s">
        <v>13</v>
      </c>
      <c r="AD4" s="28" t="s">
        <v>14</v>
      </c>
      <c r="AE4" s="15"/>
    </row>
    <row r="5" ht="18.75" customHeight="1" spans="1:31">
      <c r="A5" s="30"/>
      <c r="B5" s="28" t="s">
        <v>15</v>
      </c>
      <c r="C5" s="31" t="s">
        <v>15</v>
      </c>
      <c r="D5" s="15"/>
      <c r="E5" s="29"/>
      <c r="F5" s="14"/>
      <c r="G5" s="28"/>
      <c r="H5" s="15"/>
      <c r="I5" s="27" t="s">
        <v>15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27" t="s">
        <v>15</v>
      </c>
      <c r="Y5" s="14"/>
      <c r="Z5" s="15"/>
      <c r="AA5" s="27" t="s">
        <v>15</v>
      </c>
      <c r="AC5" s="27" t="s">
        <v>15</v>
      </c>
      <c r="AD5" s="27" t="s">
        <v>15</v>
      </c>
      <c r="AE5" s="15"/>
    </row>
    <row r="6" ht="18" customHeight="1" spans="1:31">
      <c r="A6" s="26" t="s">
        <v>16</v>
      </c>
      <c r="B6" s="15"/>
      <c r="C6" s="29" t="s">
        <v>17</v>
      </c>
      <c r="D6" s="14"/>
      <c r="E6" s="14"/>
      <c r="F6" s="14"/>
      <c r="G6" s="28"/>
      <c r="H6" s="14"/>
      <c r="I6" s="15"/>
      <c r="J6" s="28" t="s">
        <v>18</v>
      </c>
      <c r="K6" s="14"/>
      <c r="L6" s="15"/>
      <c r="M6" s="32"/>
      <c r="P6" s="28"/>
      <c r="Q6" s="14"/>
      <c r="R6" s="15"/>
      <c r="S6" s="28" t="s">
        <v>19</v>
      </c>
      <c r="T6" s="15"/>
      <c r="U6" s="9"/>
      <c r="V6" s="14"/>
      <c r="W6" s="14"/>
      <c r="X6" s="15"/>
      <c r="Z6" s="33"/>
      <c r="AA6" s="33"/>
      <c r="AB6" s="33"/>
      <c r="AC6" s="33"/>
      <c r="AD6" s="33"/>
      <c r="AE6" s="34"/>
    </row>
    <row r="7" ht="18.75" customHeight="1" spans="1:31">
      <c r="A7" s="27"/>
      <c r="B7" s="27"/>
      <c r="C7" s="29" t="s">
        <v>20</v>
      </c>
      <c r="D7" s="14"/>
      <c r="E7" s="14"/>
      <c r="F7" s="35"/>
      <c r="G7" s="36" t="s">
        <v>15</v>
      </c>
      <c r="H7" s="14"/>
      <c r="I7" s="14"/>
      <c r="J7" s="14"/>
      <c r="K7" s="14"/>
      <c r="L7" s="14"/>
      <c r="M7" s="14"/>
      <c r="N7" s="14"/>
      <c r="O7" s="15"/>
      <c r="P7" s="28" t="s">
        <v>21</v>
      </c>
      <c r="Q7" s="14"/>
      <c r="R7" s="15"/>
      <c r="S7" s="37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</row>
    <row r="8" ht="18.75" customHeight="1" spans="1:31">
      <c r="A8" s="38" t="s">
        <v>22</v>
      </c>
      <c r="B8" s="14"/>
      <c r="C8" s="14"/>
      <c r="D8" s="14"/>
      <c r="E8" s="14"/>
      <c r="F8" s="14"/>
      <c r="G8" s="28" t="s">
        <v>23</v>
      </c>
      <c r="H8" s="14"/>
      <c r="I8" s="15"/>
      <c r="J8" s="28" t="s">
        <v>24</v>
      </c>
      <c r="K8" s="15"/>
      <c r="L8" s="36"/>
      <c r="M8" s="28" t="s">
        <v>25</v>
      </c>
      <c r="N8" s="15"/>
      <c r="O8" s="28">
        <v>0</v>
      </c>
      <c r="P8" s="28" t="s">
        <v>26</v>
      </c>
      <c r="Q8" s="14"/>
      <c r="R8" s="15"/>
      <c r="S8" s="39" t="s">
        <v>15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5"/>
    </row>
    <row r="9" ht="18.75" customHeight="1" spans="1:31">
      <c r="A9" s="40"/>
      <c r="B9" s="14"/>
      <c r="C9" s="14"/>
      <c r="D9" s="14"/>
      <c r="E9" s="14"/>
      <c r="F9" s="14"/>
      <c r="G9" s="28" t="s">
        <v>27</v>
      </c>
      <c r="H9" s="14"/>
      <c r="I9" s="15"/>
      <c r="J9" s="28" t="s">
        <v>24</v>
      </c>
      <c r="K9" s="15"/>
      <c r="M9" s="28" t="s">
        <v>25</v>
      </c>
      <c r="N9" s="15"/>
      <c r="O9" s="41" t="e">
        <f>(L8-#REF!)/#REF!*100%</f>
        <v>#REF!</v>
      </c>
      <c r="P9" s="28" t="s">
        <v>26</v>
      </c>
      <c r="Q9" s="14"/>
      <c r="R9" s="15"/>
      <c r="S9" s="39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5"/>
    </row>
    <row r="10" ht="17.5" customHeight="1" spans="1:31">
      <c r="A10" s="26" t="s">
        <v>28</v>
      </c>
      <c r="B10" s="15"/>
      <c r="C10" s="27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5"/>
    </row>
    <row r="11" ht="17.5" customHeight="1" spans="1:31">
      <c r="A11" s="28" t="s">
        <v>29</v>
      </c>
      <c r="B11" s="42"/>
      <c r="C11" s="29" t="s">
        <v>30</v>
      </c>
      <c r="D11" s="14"/>
      <c r="E11" s="14"/>
      <c r="F11" s="14"/>
      <c r="G11" s="28" t="s">
        <v>31</v>
      </c>
      <c r="H11" s="14"/>
      <c r="I11" s="15"/>
      <c r="J11" s="28" t="s">
        <v>32</v>
      </c>
      <c r="K11" s="14"/>
      <c r="L11" s="15"/>
      <c r="M11" s="28" t="s">
        <v>33</v>
      </c>
      <c r="N11" s="15"/>
      <c r="O11" s="27"/>
      <c r="P11" s="27"/>
      <c r="Q11" s="14"/>
      <c r="R11" s="14"/>
      <c r="S11" s="14"/>
      <c r="T11" s="15"/>
      <c r="U11" s="28" t="s">
        <v>34</v>
      </c>
      <c r="V11" s="14"/>
      <c r="W11" s="15"/>
      <c r="X11" s="28" t="s">
        <v>35</v>
      </c>
      <c r="Y11" s="15"/>
      <c r="Z11" s="43"/>
      <c r="AA11" s="44"/>
      <c r="AB11" s="44"/>
      <c r="AC11" s="44"/>
      <c r="AD11" s="44"/>
      <c r="AE11" s="45"/>
    </row>
    <row r="12" ht="15" customHeight="1" spans="1:31">
      <c r="A12" s="46"/>
      <c r="B12" s="47"/>
      <c r="C12" s="48" t="s">
        <v>36</v>
      </c>
      <c r="D12" s="14"/>
      <c r="E12" s="14"/>
      <c r="F12" s="15"/>
      <c r="G12" s="49"/>
      <c r="H12" s="50"/>
      <c r="I12" s="48" t="s">
        <v>37</v>
      </c>
      <c r="J12" s="51"/>
      <c r="K12" s="14"/>
      <c r="L12" s="15"/>
      <c r="M12" s="52">
        <v>0</v>
      </c>
      <c r="N12" s="15"/>
      <c r="O12" s="53"/>
      <c r="P12" s="28" t="s">
        <v>38</v>
      </c>
      <c r="Q12" s="54"/>
      <c r="R12" s="42"/>
      <c r="S12" s="55" t="s">
        <v>39</v>
      </c>
      <c r="T12" s="42"/>
      <c r="U12" s="28"/>
      <c r="V12" s="14"/>
      <c r="W12" s="15"/>
      <c r="X12" s="28"/>
      <c r="Y12" s="15"/>
      <c r="Z12" s="56"/>
      <c r="AA12" s="57"/>
      <c r="AB12" s="57"/>
      <c r="AC12" s="57"/>
      <c r="AD12" s="57"/>
      <c r="AE12" s="58"/>
    </row>
    <row r="13" ht="15" customHeight="1" spans="1:31">
      <c r="A13" s="46"/>
      <c r="B13" s="47"/>
      <c r="C13" s="48" t="s">
        <v>40</v>
      </c>
      <c r="D13" s="14"/>
      <c r="E13" s="14"/>
      <c r="F13" s="15"/>
      <c r="G13" s="59"/>
      <c r="H13" s="60"/>
      <c r="I13" s="48" t="s">
        <v>37</v>
      </c>
      <c r="J13" s="51"/>
      <c r="K13" s="14"/>
      <c r="L13" s="15"/>
      <c r="M13" s="52">
        <v>0</v>
      </c>
      <c r="N13" s="15"/>
      <c r="O13" s="53"/>
      <c r="P13" s="46"/>
      <c r="R13" s="47"/>
      <c r="S13" s="61" t="s">
        <v>41</v>
      </c>
      <c r="T13" s="47"/>
      <c r="U13" s="28"/>
      <c r="V13" s="14"/>
      <c r="W13" s="15"/>
      <c r="X13" s="28"/>
      <c r="Y13" s="15"/>
      <c r="Z13" s="56"/>
      <c r="AA13" s="57"/>
      <c r="AB13" s="57"/>
      <c r="AC13" s="57"/>
      <c r="AD13" s="62"/>
      <c r="AE13" s="58"/>
    </row>
    <row r="14" ht="15" customHeight="1" spans="1:31">
      <c r="A14" s="46"/>
      <c r="B14" s="47"/>
      <c r="C14" s="48" t="s">
        <v>42</v>
      </c>
      <c r="D14" s="14"/>
      <c r="E14" s="14"/>
      <c r="F14" s="15"/>
      <c r="G14" s="49"/>
      <c r="H14" s="50"/>
      <c r="I14" s="48" t="s">
        <v>37</v>
      </c>
      <c r="J14" s="51"/>
      <c r="K14" s="14"/>
      <c r="L14" s="15"/>
      <c r="M14" s="52">
        <v>0.00126984126984123</v>
      </c>
      <c r="N14" s="15"/>
      <c r="O14" s="53"/>
      <c r="P14" s="63"/>
      <c r="Q14" s="12"/>
      <c r="R14" s="64"/>
      <c r="S14" s="65" t="s">
        <v>25</v>
      </c>
      <c r="T14" s="64"/>
      <c r="U14" s="28"/>
      <c r="V14" s="14"/>
      <c r="W14" s="15"/>
      <c r="X14" s="28"/>
      <c r="Y14" s="15"/>
      <c r="Z14" s="56"/>
      <c r="AA14" s="57"/>
      <c r="AB14" s="57"/>
      <c r="AC14" s="57"/>
      <c r="AD14" s="57"/>
      <c r="AE14" s="58"/>
    </row>
    <row r="15" ht="15" customHeight="1" spans="1:31">
      <c r="A15" s="46"/>
      <c r="B15" s="47"/>
      <c r="C15" s="48" t="s">
        <v>43</v>
      </c>
      <c r="D15" s="14"/>
      <c r="E15" s="14"/>
      <c r="F15" s="15"/>
      <c r="G15" s="66"/>
      <c r="H15" s="67"/>
      <c r="I15" s="48" t="s">
        <v>37</v>
      </c>
      <c r="J15" s="51"/>
      <c r="K15" s="14"/>
      <c r="L15" s="15"/>
      <c r="M15" s="52">
        <v>0</v>
      </c>
      <c r="N15" s="15"/>
      <c r="O15" s="30"/>
      <c r="P15" s="28" t="s">
        <v>44</v>
      </c>
      <c r="Q15" s="14"/>
      <c r="R15" s="15"/>
      <c r="S15" s="37"/>
      <c r="T15" s="15"/>
      <c r="U15" s="68"/>
      <c r="V15" s="14"/>
      <c r="W15" s="14"/>
      <c r="X15" s="14"/>
      <c r="Y15" s="15"/>
      <c r="Z15" s="56"/>
      <c r="AA15" s="57"/>
      <c r="AB15" s="57"/>
      <c r="AC15" s="57"/>
      <c r="AD15" s="57"/>
      <c r="AE15" s="58"/>
    </row>
    <row r="16" ht="17.4" customHeight="1" spans="1:31">
      <c r="A16" s="46"/>
      <c r="B16" s="47"/>
      <c r="C16" s="48" t="s">
        <v>45</v>
      </c>
      <c r="D16" s="14"/>
      <c r="E16" s="14"/>
      <c r="F16" s="15"/>
      <c r="G16" s="48"/>
      <c r="H16" s="69"/>
      <c r="I16" s="14"/>
      <c r="J16" s="14"/>
      <c r="K16" s="15"/>
      <c r="L16" s="70"/>
      <c r="M16" s="71"/>
      <c r="N16" s="72"/>
      <c r="O16" s="27"/>
      <c r="P16" s="28" t="s">
        <v>46</v>
      </c>
      <c r="Q16" s="14"/>
      <c r="R16" s="15"/>
      <c r="S16" s="37"/>
      <c r="T16" s="15"/>
      <c r="U16" s="68"/>
      <c r="V16" s="14"/>
      <c r="W16" s="14"/>
      <c r="X16" s="14"/>
      <c r="Y16" s="15"/>
      <c r="Z16" s="56"/>
      <c r="AA16" s="57"/>
      <c r="AB16" s="57"/>
      <c r="AC16" s="57"/>
      <c r="AD16" s="57"/>
      <c r="AE16" s="58"/>
    </row>
    <row r="17" ht="17.4" customHeight="1" spans="1:31">
      <c r="A17" s="46"/>
      <c r="B17" s="47"/>
      <c r="C17" s="48" t="s">
        <v>47</v>
      </c>
      <c r="D17" s="14"/>
      <c r="E17" s="14"/>
      <c r="F17" s="15"/>
      <c r="G17" s="48"/>
      <c r="H17" s="69"/>
      <c r="I17" s="14"/>
      <c r="J17" s="14"/>
      <c r="K17" s="15"/>
      <c r="L17" s="70"/>
      <c r="M17" s="71"/>
      <c r="N17" s="72"/>
      <c r="O17" s="27"/>
      <c r="P17" s="28" t="s">
        <v>48</v>
      </c>
      <c r="Q17" s="14"/>
      <c r="R17" s="15"/>
      <c r="S17" s="37"/>
      <c r="T17" s="15"/>
      <c r="U17" s="41"/>
      <c r="V17" s="14"/>
      <c r="W17" s="14"/>
      <c r="X17" s="14"/>
      <c r="Y17" s="15"/>
      <c r="Z17" s="56"/>
      <c r="AA17" s="57"/>
      <c r="AB17" s="57"/>
      <c r="AC17" s="57"/>
      <c r="AD17" s="57"/>
      <c r="AE17" s="58"/>
    </row>
    <row r="18" ht="17.4" customHeight="1" spans="1:31">
      <c r="A18" s="63"/>
      <c r="B18" s="64"/>
      <c r="C18" s="48" t="s">
        <v>49</v>
      </c>
      <c r="D18" s="14"/>
      <c r="E18" s="14"/>
      <c r="F18" s="15"/>
      <c r="G18" s="48"/>
      <c r="H18" s="69"/>
      <c r="I18" s="14"/>
      <c r="J18" s="14"/>
      <c r="K18" s="15"/>
      <c r="L18" s="70"/>
      <c r="M18" s="71"/>
      <c r="N18" s="72"/>
      <c r="O18" s="27"/>
      <c r="P18" s="28" t="s">
        <v>50</v>
      </c>
      <c r="Q18" s="14"/>
      <c r="R18" s="15"/>
      <c r="S18" s="37"/>
      <c r="T18" s="15"/>
      <c r="U18" s="28" t="s">
        <v>51</v>
      </c>
      <c r="V18" s="28"/>
      <c r="W18" s="15"/>
      <c r="X18" s="28" t="s">
        <v>52</v>
      </c>
      <c r="Y18" s="28">
        <v>0</v>
      </c>
      <c r="Z18" s="73"/>
      <c r="AA18" s="74"/>
      <c r="AB18" s="74"/>
      <c r="AC18" s="74"/>
      <c r="AD18" s="74"/>
      <c r="AE18" s="75"/>
    </row>
    <row r="19" ht="17.5" customHeight="1" spans="1:31">
      <c r="A19" s="26" t="s">
        <v>53</v>
      </c>
      <c r="B19" s="15"/>
      <c r="C19" s="27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5"/>
    </row>
    <row r="20" ht="30" customHeight="1" spans="1:31">
      <c r="A20" s="28"/>
      <c r="B20" s="42"/>
      <c r="C20" s="76" t="s">
        <v>54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B20" s="77"/>
      <c r="AC20" s="78"/>
      <c r="AD20" s="78"/>
      <c r="AE20" s="79"/>
    </row>
    <row r="21" ht="30" customHeight="1" spans="1:31">
      <c r="A21" s="46"/>
      <c r="B21" s="47"/>
      <c r="C21" s="40" t="s">
        <v>55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7" t="s">
        <v>15</v>
      </c>
      <c r="P21" s="79" t="s">
        <v>56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  <c r="AB21" s="77"/>
      <c r="AC21" s="78"/>
      <c r="AD21" s="78"/>
      <c r="AE21" s="79"/>
    </row>
    <row r="22" ht="60" customHeight="1" spans="1:31">
      <c r="A22" s="46"/>
      <c r="B22" s="47"/>
      <c r="C22" s="80" t="s">
        <v>57</v>
      </c>
      <c r="D22" s="69"/>
      <c r="E22" s="15"/>
      <c r="F22" s="80" t="s">
        <v>58</v>
      </c>
      <c r="G22" s="69"/>
      <c r="H22" s="15"/>
      <c r="I22" s="80" t="s">
        <v>59</v>
      </c>
      <c r="J22" s="69"/>
      <c r="K22" s="15"/>
      <c r="L22" s="80" t="s">
        <v>60</v>
      </c>
      <c r="M22" s="69"/>
      <c r="N22" s="15"/>
      <c r="O22" s="53"/>
      <c r="P22" s="80" t="s">
        <v>57</v>
      </c>
      <c r="Q22" s="69"/>
      <c r="R22" s="15"/>
      <c r="S22" s="80" t="s">
        <v>58</v>
      </c>
      <c r="T22" s="69"/>
      <c r="U22" s="15"/>
      <c r="V22" s="80" t="s">
        <v>59</v>
      </c>
      <c r="W22" s="69"/>
      <c r="X22" s="15"/>
      <c r="Y22" s="80" t="s">
        <v>60</v>
      </c>
      <c r="Z22" s="69"/>
      <c r="AA22" s="15"/>
      <c r="AB22" s="81" t="s">
        <v>61</v>
      </c>
      <c r="AC22" s="82" t="s">
        <v>62</v>
      </c>
      <c r="AD22" s="83"/>
      <c r="AE22" s="72"/>
    </row>
    <row r="23" ht="25.05" customHeight="1" spans="1:31">
      <c r="A23" s="46"/>
      <c r="B23" s="47"/>
      <c r="C23" s="48" t="s">
        <v>63</v>
      </c>
      <c r="D23" s="84" t="s">
        <v>64</v>
      </c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53"/>
      <c r="P23" s="48" t="s">
        <v>63</v>
      </c>
      <c r="Q23" s="84" t="s">
        <v>65</v>
      </c>
      <c r="R23" s="14"/>
      <c r="S23" s="14"/>
      <c r="T23" s="14"/>
      <c r="U23" s="14"/>
      <c r="V23" s="14"/>
      <c r="W23" s="14"/>
      <c r="X23" s="14"/>
      <c r="Y23" s="14"/>
      <c r="Z23" s="14"/>
      <c r="AA23" s="15"/>
      <c r="AB23" s="47"/>
      <c r="AC23" s="82" t="s">
        <v>66</v>
      </c>
      <c r="AD23" s="83"/>
      <c r="AE23" s="72"/>
    </row>
    <row r="24" ht="25.05" customHeight="1" spans="1:31">
      <c r="A24" s="46"/>
      <c r="B24" s="47"/>
      <c r="C24" s="48" t="s">
        <v>67</v>
      </c>
      <c r="D24" s="48" t="s">
        <v>68</v>
      </c>
      <c r="E24" s="48" t="s">
        <v>69</v>
      </c>
      <c r="F24" s="14"/>
      <c r="G24" s="15"/>
      <c r="H24" s="48" t="s">
        <v>70</v>
      </c>
      <c r="I24" s="15"/>
      <c r="J24" s="48" t="s">
        <v>71</v>
      </c>
      <c r="K24" s="48" t="s">
        <v>72</v>
      </c>
      <c r="L24" s="14"/>
      <c r="M24" s="14"/>
      <c r="N24" s="15"/>
      <c r="O24" s="53"/>
      <c r="P24" s="48" t="s">
        <v>67</v>
      </c>
      <c r="Q24" s="48" t="s">
        <v>68</v>
      </c>
      <c r="R24" s="48" t="s">
        <v>69</v>
      </c>
      <c r="S24" s="14"/>
      <c r="T24" s="15"/>
      <c r="U24" s="48" t="s">
        <v>70</v>
      </c>
      <c r="V24" s="15"/>
      <c r="W24" s="48" t="s">
        <v>71</v>
      </c>
      <c r="X24" s="48" t="s">
        <v>72</v>
      </c>
      <c r="Y24" s="14"/>
      <c r="Z24" s="14"/>
      <c r="AA24" s="15"/>
      <c r="AB24" s="85" t="s">
        <v>73</v>
      </c>
      <c r="AC24" s="86"/>
      <c r="AD24" s="71"/>
      <c r="AE24" s="72"/>
    </row>
    <row r="25" ht="48" customHeight="1" spans="1:31">
      <c r="A25" s="46"/>
      <c r="B25" s="47"/>
      <c r="C25" s="87" t="s">
        <v>74</v>
      </c>
      <c r="D25" s="88" t="s">
        <v>15</v>
      </c>
      <c r="E25" s="69" t="s">
        <v>51</v>
      </c>
      <c r="F25" s="14"/>
      <c r="G25" s="15"/>
      <c r="H25" s="69" t="s">
        <v>51</v>
      </c>
      <c r="I25" s="15"/>
      <c r="J25" s="69" t="s">
        <v>51</v>
      </c>
      <c r="K25" s="80" t="s">
        <v>75</v>
      </c>
      <c r="L25" s="84"/>
      <c r="M25" s="80" t="s">
        <v>76</v>
      </c>
      <c r="N25" s="84"/>
      <c r="O25" s="53"/>
      <c r="P25" s="87" t="s">
        <v>74</v>
      </c>
      <c r="Q25" s="88" t="s">
        <v>15</v>
      </c>
      <c r="R25" s="69" t="s">
        <v>51</v>
      </c>
      <c r="S25" s="14"/>
      <c r="T25" s="15"/>
      <c r="U25" s="69" t="s">
        <v>51</v>
      </c>
      <c r="V25" s="15"/>
      <c r="W25" s="69" t="s">
        <v>51</v>
      </c>
      <c r="X25" s="80" t="s">
        <v>75</v>
      </c>
      <c r="Y25" s="84"/>
      <c r="Z25" s="80" t="s">
        <v>76</v>
      </c>
      <c r="AA25" s="84"/>
      <c r="AB25" s="85" t="s">
        <v>77</v>
      </c>
      <c r="AC25" s="83"/>
      <c r="AD25" s="71"/>
      <c r="AE25" s="72"/>
    </row>
    <row r="26" ht="24" customHeight="1" spans="1:31">
      <c r="A26" s="46"/>
      <c r="B26" s="47"/>
      <c r="C26" s="80" t="s">
        <v>78</v>
      </c>
      <c r="D26" s="84" t="s">
        <v>15</v>
      </c>
      <c r="E26" s="48" t="s">
        <v>79</v>
      </c>
      <c r="F26" s="69" t="s">
        <v>80</v>
      </c>
      <c r="G26" s="69" t="s">
        <v>81</v>
      </c>
      <c r="H26" s="48" t="s">
        <v>79</v>
      </c>
      <c r="I26" s="69"/>
      <c r="J26" s="69"/>
      <c r="K26" s="80" t="s">
        <v>82</v>
      </c>
      <c r="L26" s="69"/>
      <c r="M26" s="80" t="s">
        <v>83</v>
      </c>
      <c r="N26" s="89"/>
      <c r="O26" s="53"/>
      <c r="P26" s="80" t="s">
        <v>78</v>
      </c>
      <c r="Q26" s="84" t="s">
        <v>15</v>
      </c>
      <c r="R26" s="48" t="s">
        <v>79</v>
      </c>
      <c r="S26" s="69" t="s">
        <v>80</v>
      </c>
      <c r="T26" s="69" t="s">
        <v>81</v>
      </c>
      <c r="U26" s="48" t="s">
        <v>79</v>
      </c>
      <c r="V26" s="69"/>
      <c r="W26" s="69"/>
      <c r="X26" s="80" t="s">
        <v>82</v>
      </c>
      <c r="Y26" s="90"/>
      <c r="Z26" s="80" t="s">
        <v>83</v>
      </c>
      <c r="AA26" s="89"/>
      <c r="AB26" s="85" t="s">
        <v>84</v>
      </c>
      <c r="AC26" s="83"/>
      <c r="AD26" s="91"/>
      <c r="AE26" s="92"/>
    </row>
    <row r="27" ht="24" customHeight="1" spans="1:31">
      <c r="A27" s="46"/>
      <c r="B27" s="47"/>
      <c r="C27" s="30"/>
      <c r="D27" s="30"/>
      <c r="E27" s="30"/>
      <c r="F27" s="69"/>
      <c r="G27" s="90"/>
      <c r="H27" s="30"/>
      <c r="I27" s="30"/>
      <c r="J27" s="30"/>
      <c r="K27" s="30"/>
      <c r="L27" s="30"/>
      <c r="M27" s="30"/>
      <c r="N27" s="30"/>
      <c r="O27" s="53"/>
      <c r="P27" s="30"/>
      <c r="Q27" s="30"/>
      <c r="R27" s="30"/>
      <c r="S27" s="69"/>
      <c r="T27" s="69"/>
      <c r="U27" s="30"/>
      <c r="V27" s="30"/>
      <c r="W27" s="30"/>
      <c r="X27" s="30"/>
      <c r="Y27" s="30"/>
      <c r="Z27" s="30"/>
      <c r="AA27" s="30"/>
      <c r="AB27" s="64"/>
      <c r="AC27" s="93"/>
      <c r="AD27" s="94"/>
      <c r="AE27" s="95"/>
    </row>
    <row r="28" ht="42" customHeight="1" spans="1:31">
      <c r="A28" s="46"/>
      <c r="B28" s="47"/>
      <c r="C28" s="80" t="s">
        <v>85</v>
      </c>
      <c r="D28" s="88" t="s">
        <v>15</v>
      </c>
      <c r="E28" s="80" t="s">
        <v>86</v>
      </c>
      <c r="F28" s="69"/>
      <c r="G28" s="15"/>
      <c r="H28" s="80" t="s">
        <v>87</v>
      </c>
      <c r="I28" s="96"/>
      <c r="J28" s="96"/>
      <c r="K28" s="80" t="s">
        <v>88</v>
      </c>
      <c r="L28" s="84"/>
      <c r="M28" s="80" t="s">
        <v>89</v>
      </c>
      <c r="N28" s="84">
        <f>N25-N26</f>
        <v>0</v>
      </c>
      <c r="O28" s="53"/>
      <c r="P28" s="80" t="s">
        <v>85</v>
      </c>
      <c r="Q28" s="88" t="s">
        <v>15</v>
      </c>
      <c r="R28" s="80" t="s">
        <v>86</v>
      </c>
      <c r="S28" s="69"/>
      <c r="T28" s="15"/>
      <c r="U28" s="80" t="s">
        <v>87</v>
      </c>
      <c r="V28" s="96"/>
      <c r="W28" s="69"/>
      <c r="X28" s="80" t="s">
        <v>88</v>
      </c>
      <c r="Y28" s="97"/>
      <c r="Z28" s="80" t="s">
        <v>89</v>
      </c>
      <c r="AA28" s="84">
        <f>AA25-AA26</f>
        <v>0</v>
      </c>
      <c r="AB28" s="85" t="s">
        <v>90</v>
      </c>
      <c r="AC28" s="83"/>
      <c r="AD28" s="71"/>
      <c r="AE28" s="72"/>
    </row>
    <row r="29" ht="42" customHeight="1" spans="1:31">
      <c r="A29" s="46"/>
      <c r="B29" s="47"/>
      <c r="C29" s="80" t="s">
        <v>91</v>
      </c>
      <c r="D29" s="88" t="s">
        <v>15</v>
      </c>
      <c r="E29" s="80" t="s">
        <v>92</v>
      </c>
      <c r="F29" s="90"/>
      <c r="G29" s="15"/>
      <c r="H29" s="80" t="s">
        <v>93</v>
      </c>
      <c r="I29" s="69"/>
      <c r="J29" s="69"/>
      <c r="K29" s="80" t="s">
        <v>94</v>
      </c>
      <c r="L29" s="84"/>
      <c r="M29" s="80" t="s">
        <v>95</v>
      </c>
      <c r="N29" s="84"/>
      <c r="O29" s="53"/>
      <c r="P29" s="80" t="s">
        <v>91</v>
      </c>
      <c r="Q29" s="88" t="s">
        <v>15</v>
      </c>
      <c r="R29" s="80" t="s">
        <v>92</v>
      </c>
      <c r="S29" s="90"/>
      <c r="T29" s="15"/>
      <c r="U29" s="80" t="s">
        <v>93</v>
      </c>
      <c r="V29" s="69"/>
      <c r="W29" s="69"/>
      <c r="X29" s="80" t="s">
        <v>94</v>
      </c>
      <c r="Y29" s="84"/>
      <c r="Z29" s="80" t="s">
        <v>95</v>
      </c>
      <c r="AA29" s="84"/>
      <c r="AB29" s="85" t="s">
        <v>96</v>
      </c>
      <c r="AC29" s="83"/>
      <c r="AD29" s="71"/>
      <c r="AE29" s="72"/>
    </row>
    <row r="30" ht="42" customHeight="1" spans="1:31">
      <c r="A30" s="46"/>
      <c r="B30" s="47"/>
      <c r="C30" s="80" t="s">
        <v>97</v>
      </c>
      <c r="D30" s="88" t="s">
        <v>15</v>
      </c>
      <c r="E30" s="80" t="s">
        <v>98</v>
      </c>
      <c r="F30" s="69"/>
      <c r="G30" s="15"/>
      <c r="H30" s="80" t="s">
        <v>99</v>
      </c>
      <c r="I30" s="69"/>
      <c r="J30" s="15"/>
      <c r="K30" s="80" t="s">
        <v>100</v>
      </c>
      <c r="L30" s="69">
        <f>L29-L25</f>
        <v>0</v>
      </c>
      <c r="M30" s="80" t="s">
        <v>101</v>
      </c>
      <c r="N30" s="84"/>
      <c r="O30" s="53"/>
      <c r="P30" s="80" t="s">
        <v>97</v>
      </c>
      <c r="Q30" s="88" t="s">
        <v>15</v>
      </c>
      <c r="R30" s="80" t="s">
        <v>98</v>
      </c>
      <c r="S30" s="69"/>
      <c r="T30" s="15"/>
      <c r="U30" s="80" t="s">
        <v>99</v>
      </c>
      <c r="V30" s="69"/>
      <c r="W30" s="15"/>
      <c r="X30" s="80" t="s">
        <v>100</v>
      </c>
      <c r="Y30" s="69">
        <f>Y29-Y25</f>
        <v>0</v>
      </c>
      <c r="Z30" s="80" t="s">
        <v>101</v>
      </c>
      <c r="AA30" s="84"/>
      <c r="AB30" s="98" t="s">
        <v>102</v>
      </c>
      <c r="AC30" s="54"/>
      <c r="AD30" s="54"/>
      <c r="AE30" s="42"/>
    </row>
    <row r="31" ht="42" customHeight="1" spans="1:31">
      <c r="A31" s="46"/>
      <c r="B31" s="47"/>
      <c r="C31" s="80" t="s">
        <v>103</v>
      </c>
      <c r="D31" s="88" t="s">
        <v>15</v>
      </c>
      <c r="E31" s="99"/>
      <c r="F31" s="80"/>
      <c r="G31" s="15"/>
      <c r="H31" s="80" t="s">
        <v>104</v>
      </c>
      <c r="I31" s="69"/>
      <c r="J31" s="15"/>
      <c r="K31" s="80"/>
      <c r="L31" s="80"/>
      <c r="M31" s="80" t="s">
        <v>105</v>
      </c>
      <c r="N31" s="69">
        <f>N29-N30</f>
        <v>0</v>
      </c>
      <c r="O31" s="53"/>
      <c r="P31" s="80" t="s">
        <v>103</v>
      </c>
      <c r="Q31" s="88" t="s">
        <v>15</v>
      </c>
      <c r="R31" s="99"/>
      <c r="S31" s="80"/>
      <c r="T31" s="15"/>
      <c r="U31" s="80" t="s">
        <v>104</v>
      </c>
      <c r="V31" s="69"/>
      <c r="W31" s="15"/>
      <c r="X31" s="80"/>
      <c r="Y31" s="80"/>
      <c r="Z31" s="80" t="s">
        <v>105</v>
      </c>
      <c r="AA31" s="69">
        <f>AA29-AA30</f>
        <v>0</v>
      </c>
      <c r="AE31" s="47"/>
    </row>
    <row r="32" ht="16.95" customHeight="1" spans="1:31">
      <c r="A32" s="46"/>
      <c r="B32" s="47"/>
      <c r="C32" s="27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  <c r="O32" s="53"/>
      <c r="P32" s="79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2"/>
      <c r="AC32" s="12"/>
      <c r="AD32" s="12"/>
      <c r="AE32" s="64"/>
    </row>
    <row r="33" ht="25.05" customHeight="1" spans="1:31">
      <c r="A33" s="46"/>
      <c r="B33" s="47"/>
      <c r="C33" s="28" t="s">
        <v>63</v>
      </c>
      <c r="D33" s="88" t="s">
        <v>106</v>
      </c>
      <c r="E33" s="14"/>
      <c r="F33" s="14"/>
      <c r="G33" s="14"/>
      <c r="H33" s="14"/>
      <c r="I33" s="14"/>
      <c r="J33" s="14"/>
      <c r="K33" s="14"/>
      <c r="L33" s="14"/>
      <c r="M33" s="14"/>
      <c r="N33" s="15"/>
      <c r="O33" s="53"/>
      <c r="P33" s="37" t="s">
        <v>63</v>
      </c>
      <c r="Q33" s="88" t="s">
        <v>106</v>
      </c>
      <c r="R33" s="14"/>
      <c r="S33" s="14"/>
      <c r="T33" s="14"/>
      <c r="U33" s="14"/>
      <c r="V33" s="14"/>
      <c r="W33" s="14"/>
      <c r="X33" s="14"/>
      <c r="Y33" s="14"/>
      <c r="Z33" s="14"/>
      <c r="AA33" s="15"/>
      <c r="AB33" s="85" t="s">
        <v>97</v>
      </c>
      <c r="AC33" s="15"/>
      <c r="AD33" s="100" t="s">
        <v>107</v>
      </c>
      <c r="AE33" s="15"/>
    </row>
    <row r="34" ht="25.05" customHeight="1" spans="1:31">
      <c r="A34" s="46"/>
      <c r="B34" s="47"/>
      <c r="C34" s="28" t="s">
        <v>67</v>
      </c>
      <c r="D34" s="28" t="s">
        <v>68</v>
      </c>
      <c r="E34" s="28" t="s">
        <v>69</v>
      </c>
      <c r="F34" s="14"/>
      <c r="G34" s="15"/>
      <c r="H34" s="28" t="s">
        <v>70</v>
      </c>
      <c r="I34" s="15"/>
      <c r="J34" s="28" t="s">
        <v>71</v>
      </c>
      <c r="K34" s="28" t="s">
        <v>72</v>
      </c>
      <c r="L34" s="14"/>
      <c r="M34" s="14"/>
      <c r="N34" s="15"/>
      <c r="O34" s="53"/>
      <c r="P34" s="37" t="s">
        <v>67</v>
      </c>
      <c r="Q34" s="28" t="s">
        <v>68</v>
      </c>
      <c r="R34" s="28" t="s">
        <v>69</v>
      </c>
      <c r="S34" s="14"/>
      <c r="T34" s="15"/>
      <c r="U34" s="28" t="s">
        <v>70</v>
      </c>
      <c r="V34" s="15"/>
      <c r="W34" s="28" t="s">
        <v>71</v>
      </c>
      <c r="X34" s="28" t="s">
        <v>72</v>
      </c>
      <c r="Y34" s="14"/>
      <c r="Z34" s="14"/>
      <c r="AA34" s="15"/>
      <c r="AB34" s="85" t="s">
        <v>103</v>
      </c>
      <c r="AC34" s="15"/>
      <c r="AD34" s="100" t="s">
        <v>107</v>
      </c>
      <c r="AE34" s="15"/>
    </row>
    <row r="35" ht="42" customHeight="1" spans="1:31">
      <c r="A35" s="46"/>
      <c r="B35" s="47"/>
      <c r="C35" s="101" t="s">
        <v>74</v>
      </c>
      <c r="D35" s="88" t="s">
        <v>15</v>
      </c>
      <c r="E35" s="102" t="s">
        <v>51</v>
      </c>
      <c r="F35" s="14"/>
      <c r="G35" s="15"/>
      <c r="H35" s="102" t="s">
        <v>51</v>
      </c>
      <c r="I35" s="15"/>
      <c r="J35" s="102" t="s">
        <v>51</v>
      </c>
      <c r="K35" s="100" t="s">
        <v>75</v>
      </c>
      <c r="L35" s="102" t="s">
        <v>15</v>
      </c>
      <c r="M35" s="100" t="s">
        <v>76</v>
      </c>
      <c r="N35" s="103" t="s">
        <v>15</v>
      </c>
      <c r="O35" s="53"/>
      <c r="P35" s="101" t="s">
        <v>74</v>
      </c>
      <c r="Q35" s="88" t="s">
        <v>15</v>
      </c>
      <c r="R35" s="102" t="s">
        <v>51</v>
      </c>
      <c r="S35" s="14"/>
      <c r="T35" s="15"/>
      <c r="U35" s="102" t="s">
        <v>51</v>
      </c>
      <c r="V35" s="15"/>
      <c r="W35" s="102" t="s">
        <v>51</v>
      </c>
      <c r="X35" s="100" t="s">
        <v>75</v>
      </c>
      <c r="Y35" s="102" t="s">
        <v>15</v>
      </c>
      <c r="Z35" s="100" t="s">
        <v>76</v>
      </c>
      <c r="AA35" s="102" t="s">
        <v>15</v>
      </c>
      <c r="AB35" s="85" t="s">
        <v>108</v>
      </c>
      <c r="AC35" s="15"/>
      <c r="AD35" s="104" t="s">
        <v>109</v>
      </c>
      <c r="AE35" s="15"/>
    </row>
    <row r="36" ht="24" customHeight="1" spans="1:31">
      <c r="A36" s="46"/>
      <c r="B36" s="47"/>
      <c r="C36" s="100" t="s">
        <v>78</v>
      </c>
      <c r="D36" s="105" t="s">
        <v>15</v>
      </c>
      <c r="E36" s="28" t="s">
        <v>79</v>
      </c>
      <c r="F36" s="102" t="s">
        <v>80</v>
      </c>
      <c r="G36" s="102" t="s">
        <v>81</v>
      </c>
      <c r="H36" s="28" t="s">
        <v>79</v>
      </c>
      <c r="I36" s="102" t="s">
        <v>15</v>
      </c>
      <c r="J36" s="102" t="s">
        <v>15</v>
      </c>
      <c r="K36" s="100" t="s">
        <v>82</v>
      </c>
      <c r="L36" s="102" t="s">
        <v>15</v>
      </c>
      <c r="M36" s="100" t="s">
        <v>83</v>
      </c>
      <c r="N36" s="103" t="s">
        <v>15</v>
      </c>
      <c r="O36" s="53"/>
      <c r="P36" s="100" t="s">
        <v>78</v>
      </c>
      <c r="Q36" s="105" t="s">
        <v>15</v>
      </c>
      <c r="R36" s="28" t="s">
        <v>79</v>
      </c>
      <c r="S36" s="102" t="s">
        <v>80</v>
      </c>
      <c r="T36" s="102" t="s">
        <v>81</v>
      </c>
      <c r="U36" s="28" t="s">
        <v>79</v>
      </c>
      <c r="V36" s="102" t="s">
        <v>15</v>
      </c>
      <c r="W36" s="102" t="s">
        <v>15</v>
      </c>
      <c r="X36" s="100" t="s">
        <v>82</v>
      </c>
      <c r="Y36" s="102" t="s">
        <v>15</v>
      </c>
      <c r="Z36" s="100" t="s">
        <v>83</v>
      </c>
      <c r="AA36" s="102" t="s">
        <v>15</v>
      </c>
      <c r="AB36" s="85" t="s">
        <v>104</v>
      </c>
      <c r="AC36" s="42"/>
      <c r="AD36" s="100" t="s">
        <v>110</v>
      </c>
      <c r="AE36" s="42"/>
    </row>
    <row r="37" ht="24" customHeight="1" spans="1:31">
      <c r="A37" s="46"/>
      <c r="B37" s="47"/>
      <c r="C37" s="30"/>
      <c r="D37" s="30"/>
      <c r="E37" s="30"/>
      <c r="F37" s="102" t="s">
        <v>15</v>
      </c>
      <c r="G37" s="102" t="s">
        <v>15</v>
      </c>
      <c r="H37" s="30"/>
      <c r="I37" s="30"/>
      <c r="J37" s="30"/>
      <c r="K37" s="30"/>
      <c r="L37" s="30"/>
      <c r="M37" s="30"/>
      <c r="N37" s="63"/>
      <c r="O37" s="53"/>
      <c r="P37" s="30"/>
      <c r="Q37" s="30"/>
      <c r="R37" s="30"/>
      <c r="S37" s="102" t="s">
        <v>15</v>
      </c>
      <c r="T37" s="102" t="s">
        <v>15</v>
      </c>
      <c r="U37" s="30"/>
      <c r="V37" s="30"/>
      <c r="W37" s="30"/>
      <c r="X37" s="30"/>
      <c r="Y37" s="30"/>
      <c r="Z37" s="30"/>
      <c r="AA37" s="30"/>
      <c r="AB37" s="12"/>
      <c r="AC37" s="64"/>
      <c r="AD37" s="63"/>
      <c r="AE37" s="64"/>
    </row>
    <row r="38" ht="42" customHeight="1" spans="1:31">
      <c r="A38" s="46"/>
      <c r="B38" s="47"/>
      <c r="C38" s="100" t="s">
        <v>85</v>
      </c>
      <c r="D38" s="88" t="s">
        <v>15</v>
      </c>
      <c r="E38" s="100" t="s">
        <v>86</v>
      </c>
      <c r="F38" s="102" t="s">
        <v>15</v>
      </c>
      <c r="G38" s="15"/>
      <c r="H38" s="100" t="s">
        <v>87</v>
      </c>
      <c r="I38" s="102" t="s">
        <v>15</v>
      </c>
      <c r="J38" s="102" t="s">
        <v>15</v>
      </c>
      <c r="K38" s="100" t="s">
        <v>88</v>
      </c>
      <c r="L38" s="102" t="s">
        <v>15</v>
      </c>
      <c r="M38" s="100" t="s">
        <v>89</v>
      </c>
      <c r="N38" s="103" t="e">
        <v>#VALUE!</v>
      </c>
      <c r="O38" s="53"/>
      <c r="P38" s="100" t="s">
        <v>85</v>
      </c>
      <c r="Q38" s="88" t="s">
        <v>15</v>
      </c>
      <c r="R38" s="100" t="s">
        <v>86</v>
      </c>
      <c r="S38" s="102" t="s">
        <v>15</v>
      </c>
      <c r="T38" s="15"/>
      <c r="U38" s="100" t="s">
        <v>87</v>
      </c>
      <c r="V38" s="102" t="s">
        <v>15</v>
      </c>
      <c r="W38" s="102" t="s">
        <v>15</v>
      </c>
      <c r="X38" s="100" t="s">
        <v>88</v>
      </c>
      <c r="Y38" s="102" t="s">
        <v>15</v>
      </c>
      <c r="Z38" s="100" t="s">
        <v>89</v>
      </c>
      <c r="AA38" s="102" t="e">
        <v>#VALUE!</v>
      </c>
      <c r="AB38" s="85" t="s">
        <v>111</v>
      </c>
      <c r="AC38" s="15"/>
      <c r="AD38" s="100" t="s">
        <v>112</v>
      </c>
      <c r="AE38" s="15"/>
    </row>
    <row r="39" ht="42" customHeight="1" spans="1:31">
      <c r="A39" s="46"/>
      <c r="B39" s="47"/>
      <c r="C39" s="100" t="s">
        <v>91</v>
      </c>
      <c r="D39" s="88" t="s">
        <v>15</v>
      </c>
      <c r="E39" s="100" t="s">
        <v>92</v>
      </c>
      <c r="F39" s="102" t="s">
        <v>15</v>
      </c>
      <c r="G39" s="15"/>
      <c r="H39" s="100" t="s">
        <v>93</v>
      </c>
      <c r="I39" s="102" t="s">
        <v>15</v>
      </c>
      <c r="J39" s="102" t="s">
        <v>15</v>
      </c>
      <c r="K39" s="100" t="s">
        <v>94</v>
      </c>
      <c r="L39" s="102" t="s">
        <v>15</v>
      </c>
      <c r="M39" s="100" t="s">
        <v>95</v>
      </c>
      <c r="N39" s="103" t="s">
        <v>15</v>
      </c>
      <c r="O39" s="53"/>
      <c r="P39" s="100" t="s">
        <v>91</v>
      </c>
      <c r="Q39" s="88" t="s">
        <v>15</v>
      </c>
      <c r="R39" s="100" t="s">
        <v>92</v>
      </c>
      <c r="S39" s="102" t="s">
        <v>15</v>
      </c>
      <c r="T39" s="15"/>
      <c r="U39" s="100" t="s">
        <v>93</v>
      </c>
      <c r="V39" s="102" t="s">
        <v>15</v>
      </c>
      <c r="W39" s="102" t="s">
        <v>15</v>
      </c>
      <c r="X39" s="100" t="s">
        <v>94</v>
      </c>
      <c r="Y39" s="102" t="s">
        <v>15</v>
      </c>
      <c r="Z39" s="100" t="s">
        <v>95</v>
      </c>
      <c r="AA39" s="102" t="s">
        <v>15</v>
      </c>
      <c r="AB39" s="85" t="s">
        <v>113</v>
      </c>
      <c r="AC39" s="15"/>
      <c r="AD39" s="100" t="s">
        <v>114</v>
      </c>
      <c r="AE39" s="15"/>
    </row>
    <row r="40" ht="42" customHeight="1" spans="1:31">
      <c r="A40" s="46"/>
      <c r="B40" s="47"/>
      <c r="C40" s="100" t="s">
        <v>97</v>
      </c>
      <c r="D40" s="88" t="s">
        <v>15</v>
      </c>
      <c r="E40" s="100" t="s">
        <v>98</v>
      </c>
      <c r="F40" s="102" t="s">
        <v>15</v>
      </c>
      <c r="G40" s="15"/>
      <c r="H40" s="100" t="s">
        <v>99</v>
      </c>
      <c r="I40" s="102" t="s">
        <v>15</v>
      </c>
      <c r="J40" s="15"/>
      <c r="K40" s="100" t="s">
        <v>100</v>
      </c>
      <c r="L40" s="102" t="e">
        <v>#VALUE!</v>
      </c>
      <c r="M40" s="100" t="s">
        <v>101</v>
      </c>
      <c r="N40" s="103" t="s">
        <v>15</v>
      </c>
      <c r="O40" s="53"/>
      <c r="P40" s="100" t="s">
        <v>97</v>
      </c>
      <c r="Q40" s="88" t="s">
        <v>15</v>
      </c>
      <c r="R40" s="100" t="s">
        <v>98</v>
      </c>
      <c r="S40" s="102" t="s">
        <v>15</v>
      </c>
      <c r="T40" s="15"/>
      <c r="U40" s="100" t="s">
        <v>99</v>
      </c>
      <c r="V40" s="102" t="s">
        <v>15</v>
      </c>
      <c r="W40" s="15"/>
      <c r="X40" s="100" t="s">
        <v>100</v>
      </c>
      <c r="Y40" s="102" t="e">
        <v>#VALUE!</v>
      </c>
      <c r="Z40" s="100" t="s">
        <v>101</v>
      </c>
      <c r="AA40" s="102" t="s">
        <v>15</v>
      </c>
      <c r="AB40" s="85" t="s">
        <v>115</v>
      </c>
      <c r="AC40" s="15"/>
      <c r="AD40" s="100" t="s">
        <v>116</v>
      </c>
      <c r="AE40" s="15"/>
    </row>
    <row r="41" ht="42" customHeight="1" spans="1:31">
      <c r="A41" s="46"/>
      <c r="B41" s="47"/>
      <c r="C41" s="100" t="s">
        <v>103</v>
      </c>
      <c r="D41" s="88" t="s">
        <v>15</v>
      </c>
      <c r="E41" s="100"/>
      <c r="F41" s="100"/>
      <c r="G41" s="100"/>
      <c r="H41" s="100" t="s">
        <v>104</v>
      </c>
      <c r="I41" s="102" t="s">
        <v>15</v>
      </c>
      <c r="J41" s="15"/>
      <c r="K41" s="100"/>
      <c r="L41" s="100"/>
      <c r="M41" s="100" t="s">
        <v>105</v>
      </c>
      <c r="N41" s="103" t="e">
        <v>#VALUE!</v>
      </c>
      <c r="O41" s="53"/>
      <c r="P41" s="100" t="s">
        <v>103</v>
      </c>
      <c r="Q41" s="88" t="s">
        <v>15</v>
      </c>
      <c r="R41" s="100"/>
      <c r="S41" s="100"/>
      <c r="T41" s="100"/>
      <c r="U41" s="100" t="s">
        <v>104</v>
      </c>
      <c r="V41" s="102" t="s">
        <v>15</v>
      </c>
      <c r="W41" s="15"/>
      <c r="X41" s="100"/>
      <c r="Y41" s="100"/>
      <c r="Z41" s="100" t="s">
        <v>105</v>
      </c>
      <c r="AA41" s="102" t="e">
        <v>#VALUE!</v>
      </c>
      <c r="AB41" s="77"/>
      <c r="AC41" s="78"/>
      <c r="AD41" s="78"/>
      <c r="AE41" s="79"/>
    </row>
    <row r="42" ht="42" customHeight="1" spans="1:31">
      <c r="A42" s="46"/>
      <c r="B42" s="47"/>
      <c r="C42" s="28" t="s">
        <v>117</v>
      </c>
      <c r="D42" s="88" t="s">
        <v>118</v>
      </c>
      <c r="E42" s="14"/>
      <c r="F42" s="14"/>
      <c r="G42" s="14"/>
      <c r="H42" s="14"/>
      <c r="I42" s="14"/>
      <c r="J42" s="14"/>
      <c r="K42" s="14"/>
      <c r="L42" s="14"/>
      <c r="M42" s="14"/>
      <c r="N42" s="15"/>
      <c r="O42" s="30"/>
      <c r="P42" s="28" t="s">
        <v>117</v>
      </c>
      <c r="Q42" s="88" t="s">
        <v>118</v>
      </c>
      <c r="R42" s="14"/>
      <c r="S42" s="14"/>
      <c r="T42" s="14"/>
      <c r="U42" s="14"/>
      <c r="V42" s="14"/>
      <c r="W42" s="14"/>
      <c r="X42" s="14"/>
      <c r="Y42" s="14"/>
      <c r="Z42" s="14"/>
      <c r="AA42" s="15"/>
      <c r="AB42" s="77"/>
      <c r="AC42" s="78"/>
      <c r="AD42" s="78"/>
      <c r="AE42" s="79"/>
    </row>
    <row r="43" ht="30" customHeight="1" spans="1:31">
      <c r="A43" s="46"/>
      <c r="B43" s="47"/>
      <c r="C43" s="76" t="s">
        <v>119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5"/>
      <c r="AB43" s="77"/>
      <c r="AC43" s="78"/>
      <c r="AD43" s="78"/>
      <c r="AE43" s="79"/>
    </row>
    <row r="44" ht="30" customHeight="1" spans="1:31">
      <c r="A44" s="46"/>
      <c r="B44" s="47"/>
      <c r="C44" s="27" t="s">
        <v>55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  <c r="O44" s="27"/>
      <c r="P44" s="27" t="s">
        <v>56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5"/>
      <c r="AB44" s="77"/>
      <c r="AC44" s="78"/>
      <c r="AD44" s="78"/>
      <c r="AE44" s="79"/>
    </row>
    <row r="45" ht="42" customHeight="1" spans="1:31">
      <c r="A45" s="46"/>
      <c r="B45" s="47"/>
      <c r="C45" s="100" t="s">
        <v>120</v>
      </c>
      <c r="D45" s="15"/>
      <c r="E45" s="102" t="s">
        <v>121</v>
      </c>
      <c r="F45" s="100" t="s">
        <v>122</v>
      </c>
      <c r="G45" s="102">
        <v>0.09</v>
      </c>
      <c r="H45" s="15"/>
      <c r="I45" s="100" t="s">
        <v>123</v>
      </c>
      <c r="J45" s="102">
        <v>0.089</v>
      </c>
      <c r="K45" s="15"/>
      <c r="L45" s="100" t="s">
        <v>124</v>
      </c>
      <c r="M45" s="102">
        <v>0.09</v>
      </c>
      <c r="N45" s="15"/>
      <c r="O45" s="53"/>
      <c r="P45" s="100" t="s">
        <v>120</v>
      </c>
      <c r="Q45" s="15"/>
      <c r="R45" s="102" t="s">
        <v>121</v>
      </c>
      <c r="S45" s="100" t="s">
        <v>125</v>
      </c>
      <c r="T45" s="102">
        <v>0.09</v>
      </c>
      <c r="U45" s="15"/>
      <c r="V45" s="100" t="s">
        <v>123</v>
      </c>
      <c r="W45" s="102">
        <v>0.089</v>
      </c>
      <c r="X45" s="15"/>
      <c r="Y45" s="100" t="s">
        <v>124</v>
      </c>
      <c r="Z45" s="102">
        <v>0.093</v>
      </c>
      <c r="AA45" s="15"/>
      <c r="AB45" s="77"/>
      <c r="AC45" s="78"/>
      <c r="AD45" s="78"/>
      <c r="AE45" s="79"/>
    </row>
    <row r="46" ht="42" customHeight="1" spans="1:31">
      <c r="A46" s="46"/>
      <c r="B46" s="47"/>
      <c r="C46" s="100" t="s">
        <v>126</v>
      </c>
      <c r="D46" s="15"/>
      <c r="E46" s="102" t="s">
        <v>127</v>
      </c>
      <c r="F46" s="100" t="s">
        <v>122</v>
      </c>
      <c r="G46" s="102">
        <v>0.09</v>
      </c>
      <c r="H46" s="15"/>
      <c r="I46" s="100" t="s">
        <v>123</v>
      </c>
      <c r="J46" s="102">
        <v>0.089</v>
      </c>
      <c r="K46" s="15"/>
      <c r="L46" s="100" t="s">
        <v>124</v>
      </c>
      <c r="M46" s="102">
        <v>0.09</v>
      </c>
      <c r="N46" s="15"/>
      <c r="O46" s="53"/>
      <c r="P46" s="100" t="s">
        <v>126</v>
      </c>
      <c r="Q46" s="15"/>
      <c r="R46" s="102" t="s">
        <v>127</v>
      </c>
      <c r="S46" s="100" t="s">
        <v>125</v>
      </c>
      <c r="T46" s="102">
        <v>0.09</v>
      </c>
      <c r="U46" s="15"/>
      <c r="V46" s="100" t="s">
        <v>123</v>
      </c>
      <c r="W46" s="102">
        <v>0.09</v>
      </c>
      <c r="X46" s="15"/>
      <c r="Y46" s="100" t="s">
        <v>124</v>
      </c>
      <c r="Z46" s="102">
        <v>0.093</v>
      </c>
      <c r="AA46" s="15"/>
      <c r="AB46" s="77"/>
      <c r="AC46" s="78"/>
      <c r="AD46" s="78"/>
      <c r="AE46" s="79"/>
    </row>
    <row r="47" ht="25.05" customHeight="1" spans="1:31">
      <c r="A47" s="46"/>
      <c r="B47" s="47"/>
      <c r="C47" s="88" t="s">
        <v>128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  <c r="O47" s="53"/>
      <c r="P47" s="88" t="s">
        <v>129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5"/>
      <c r="AB47" s="77"/>
      <c r="AC47" s="78"/>
      <c r="AD47" s="78"/>
      <c r="AE47" s="79"/>
    </row>
    <row r="48" ht="42" customHeight="1" spans="1:31">
      <c r="A48" s="46"/>
      <c r="B48" s="47"/>
      <c r="C48" s="100" t="s">
        <v>130</v>
      </c>
      <c r="D48" s="102">
        <v>30.1</v>
      </c>
      <c r="E48" s="100" t="s">
        <v>131</v>
      </c>
      <c r="F48" s="15"/>
      <c r="G48" s="102">
        <v>0.28</v>
      </c>
      <c r="H48" s="15"/>
      <c r="I48" s="100" t="s">
        <v>132</v>
      </c>
      <c r="J48" s="15"/>
      <c r="K48" s="102">
        <v>0.38</v>
      </c>
      <c r="L48" s="15"/>
      <c r="M48" s="100" t="s">
        <v>133</v>
      </c>
      <c r="N48" s="102">
        <f>K48-G48</f>
        <v>0.1</v>
      </c>
      <c r="O48" s="53"/>
      <c r="P48" s="100" t="s">
        <v>130</v>
      </c>
      <c r="Q48" s="102">
        <v>30</v>
      </c>
      <c r="R48" s="100" t="s">
        <v>131</v>
      </c>
      <c r="S48" s="15"/>
      <c r="T48" s="102">
        <v>0.26</v>
      </c>
      <c r="U48" s="15"/>
      <c r="V48" s="100" t="s">
        <v>132</v>
      </c>
      <c r="W48" s="15"/>
      <c r="X48" s="102">
        <v>0.36</v>
      </c>
      <c r="Y48" s="15"/>
      <c r="Z48" s="100" t="s">
        <v>133</v>
      </c>
      <c r="AA48" s="100">
        <f>X48-T48</f>
        <v>0.1</v>
      </c>
      <c r="AB48" s="77"/>
      <c r="AC48" s="78"/>
      <c r="AD48" s="78"/>
      <c r="AE48" s="79"/>
    </row>
    <row r="49" ht="42" customHeight="1" spans="1:31">
      <c r="A49" s="63"/>
      <c r="B49" s="64"/>
      <c r="C49" s="100" t="s">
        <v>134</v>
      </c>
      <c r="D49" s="88" t="s">
        <v>118</v>
      </c>
      <c r="E49" s="14"/>
      <c r="F49" s="14"/>
      <c r="G49" s="14"/>
      <c r="H49" s="14"/>
      <c r="I49" s="14"/>
      <c r="J49" s="14"/>
      <c r="K49" s="14"/>
      <c r="L49" s="14"/>
      <c r="M49" s="14"/>
      <c r="N49" s="15"/>
      <c r="O49" s="30"/>
      <c r="P49" s="100" t="s">
        <v>134</v>
      </c>
      <c r="Q49" s="88" t="s">
        <v>118</v>
      </c>
      <c r="R49" s="14"/>
      <c r="S49" s="14"/>
      <c r="T49" s="14"/>
      <c r="U49" s="14"/>
      <c r="V49" s="14"/>
      <c r="W49" s="14"/>
      <c r="X49" s="14"/>
      <c r="Y49" s="14"/>
      <c r="Z49" s="14"/>
      <c r="AA49" s="15"/>
      <c r="AB49" s="77"/>
      <c r="AC49" s="78"/>
      <c r="AD49" s="78"/>
      <c r="AE49" s="79"/>
    </row>
    <row r="50" spans="1:31">
      <c r="A50" s="26" t="s">
        <v>135</v>
      </c>
      <c r="B50" s="15"/>
      <c r="C50" s="106" t="s">
        <v>15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5"/>
    </row>
    <row r="51" spans="1:31">
      <c r="A51" s="26" t="s">
        <v>136</v>
      </c>
      <c r="B51" s="15"/>
      <c r="C51" s="106" t="s">
        <v>15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5"/>
    </row>
    <row r="52" spans="1:31">
      <c r="A52" s="26" t="s">
        <v>137</v>
      </c>
      <c r="B52" s="15"/>
      <c r="C52" s="106" t="s">
        <v>15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5"/>
    </row>
    <row r="53" spans="1:31">
      <c r="A53" s="26" t="s">
        <v>138</v>
      </c>
      <c r="B53" s="15"/>
      <c r="C53" s="106" t="s">
        <v>15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5"/>
    </row>
    <row r="54" spans="1:31">
      <c r="A54" s="107" t="s">
        <v>139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</row>
    <row r="55" ht="28" customHeight="1" spans="1:31">
      <c r="A55" s="108" t="s">
        <v>140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62"/>
      <c r="N55" s="62"/>
      <c r="O55" s="110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5"/>
      <c r="AA55" s="62"/>
      <c r="AB55" s="111" t="s">
        <v>141</v>
      </c>
      <c r="AC55" s="111" t="s">
        <v>142</v>
      </c>
      <c r="AD55" s="112" t="s">
        <v>143</v>
      </c>
      <c r="AE55" s="15"/>
    </row>
    <row r="56" spans="1:31">
      <c r="A56" s="113" t="s">
        <v>144</v>
      </c>
      <c r="B56" s="67"/>
      <c r="C56" s="114" t="s">
        <v>145</v>
      </c>
      <c r="D56" s="67"/>
      <c r="E56" s="114" t="s">
        <v>146</v>
      </c>
      <c r="F56" s="67"/>
      <c r="G56" s="115" t="s">
        <v>147</v>
      </c>
      <c r="H56" s="67"/>
      <c r="I56" s="114" t="s">
        <v>148</v>
      </c>
      <c r="J56" s="67"/>
      <c r="K56" s="114" t="s">
        <v>149</v>
      </c>
      <c r="L56" s="67"/>
      <c r="M56" s="116"/>
      <c r="N56" s="116"/>
      <c r="O56" s="117" t="s">
        <v>150</v>
      </c>
      <c r="P56" s="14"/>
      <c r="Q56" s="15"/>
      <c r="R56" s="100" t="s">
        <v>77</v>
      </c>
      <c r="S56" s="14"/>
      <c r="T56" s="14"/>
      <c r="U56" s="15"/>
      <c r="V56" s="100" t="s">
        <v>151</v>
      </c>
      <c r="W56" s="14"/>
      <c r="X56" s="15"/>
      <c r="Y56" s="100" t="s">
        <v>152</v>
      </c>
      <c r="Z56" s="15"/>
      <c r="AA56" s="62"/>
      <c r="AB56" s="118">
        <v>1272</v>
      </c>
      <c r="AC56" s="118">
        <v>2</v>
      </c>
      <c r="AD56" s="119">
        <f>AC56/AB56</f>
        <v>0.00157232704402516</v>
      </c>
      <c r="AE56" s="42"/>
    </row>
    <row r="57" spans="1:31">
      <c r="A57" s="113" t="s">
        <v>153</v>
      </c>
      <c r="B57" s="67"/>
      <c r="C57" s="114"/>
      <c r="D57" s="67"/>
      <c r="E57" s="114"/>
      <c r="F57" s="67"/>
      <c r="G57" s="114"/>
      <c r="H57" s="67"/>
      <c r="I57" s="114"/>
      <c r="J57" s="67"/>
      <c r="K57" s="120"/>
      <c r="L57" s="67"/>
      <c r="M57" s="62"/>
      <c r="N57" s="62"/>
      <c r="O57" s="28"/>
      <c r="P57" s="54"/>
      <c r="Q57" s="42"/>
      <c r="R57" s="121"/>
      <c r="S57" s="54"/>
      <c r="T57" s="54"/>
      <c r="U57" s="122"/>
      <c r="V57" s="123"/>
      <c r="W57" s="54"/>
      <c r="X57" s="122"/>
      <c r="Y57" s="124"/>
      <c r="Z57" s="42"/>
      <c r="AA57" s="62"/>
      <c r="AB57" s="30"/>
      <c r="AC57" s="30"/>
      <c r="AD57" s="63"/>
      <c r="AE57" s="64"/>
    </row>
    <row r="58" spans="1:31">
      <c r="A58" s="113" t="s">
        <v>154</v>
      </c>
      <c r="B58" s="67"/>
      <c r="C58" s="114"/>
      <c r="D58" s="67"/>
      <c r="E58" s="114"/>
      <c r="F58" s="67"/>
      <c r="G58" s="114"/>
      <c r="H58" s="67"/>
      <c r="I58" s="114"/>
      <c r="J58" s="67"/>
      <c r="K58" s="120"/>
      <c r="L58" s="67"/>
      <c r="M58" s="62"/>
      <c r="N58" s="62"/>
      <c r="O58" s="63"/>
      <c r="P58" s="12"/>
      <c r="Q58" s="64"/>
      <c r="R58" s="63"/>
      <c r="S58" s="12"/>
      <c r="T58" s="12"/>
      <c r="U58" s="125"/>
      <c r="V58" s="126"/>
      <c r="W58" s="12"/>
      <c r="X58" s="125"/>
      <c r="Y58" s="126"/>
      <c r="Z58" s="64"/>
      <c r="AA58" s="62"/>
      <c r="AB58" s="127"/>
      <c r="AC58" s="14"/>
      <c r="AD58" s="14"/>
      <c r="AE58" s="15"/>
    </row>
    <row r="59" ht="28" customHeight="1" spans="1:31">
      <c r="A59" s="128"/>
      <c r="B59" s="128"/>
      <c r="C59" s="113" t="s">
        <v>145</v>
      </c>
      <c r="D59" s="67"/>
      <c r="E59" s="114" t="s">
        <v>155</v>
      </c>
      <c r="F59" s="67"/>
      <c r="G59" s="115" t="s">
        <v>147</v>
      </c>
      <c r="H59" s="67"/>
      <c r="I59" s="114" t="s">
        <v>148</v>
      </c>
      <c r="J59" s="67"/>
      <c r="K59" s="114" t="s">
        <v>149</v>
      </c>
      <c r="L59" s="67"/>
      <c r="M59" s="116"/>
      <c r="N59" s="116"/>
      <c r="O59" s="129" t="s">
        <v>156</v>
      </c>
      <c r="P59" s="14"/>
      <c r="Q59" s="14"/>
      <c r="R59" s="15"/>
      <c r="S59" s="100" t="s">
        <v>157</v>
      </c>
      <c r="T59" s="14"/>
      <c r="U59" s="15"/>
      <c r="V59" s="100" t="s">
        <v>158</v>
      </c>
      <c r="W59" s="14"/>
      <c r="X59" s="14"/>
      <c r="Y59" s="14"/>
      <c r="Z59" s="15"/>
      <c r="AA59" s="62"/>
      <c r="AB59" s="112" t="s">
        <v>159</v>
      </c>
      <c r="AC59" s="112" t="s">
        <v>160</v>
      </c>
      <c r="AD59" s="112" t="s">
        <v>161</v>
      </c>
      <c r="AE59" s="15"/>
    </row>
    <row r="60" spans="1:31">
      <c r="A60" s="113" t="s">
        <v>162</v>
      </c>
      <c r="B60" s="67"/>
      <c r="C60" s="114"/>
      <c r="D60" s="67"/>
      <c r="E60" s="114"/>
      <c r="F60" s="67"/>
      <c r="G60" s="114"/>
      <c r="H60" s="67"/>
      <c r="I60" s="114"/>
      <c r="J60" s="67"/>
      <c r="K60" s="120"/>
      <c r="L60" s="67"/>
      <c r="M60" s="62"/>
      <c r="N60" s="62"/>
      <c r="O60" s="129"/>
      <c r="P60" s="54"/>
      <c r="Q60" s="54"/>
      <c r="R60" s="42"/>
      <c r="S60" s="100">
        <v>0</v>
      </c>
      <c r="T60" s="54"/>
      <c r="U60" s="42"/>
      <c r="V60" s="130"/>
      <c r="W60" s="91"/>
      <c r="X60" s="91"/>
      <c r="Y60" s="91"/>
      <c r="Z60" s="92"/>
      <c r="AA60" s="62"/>
      <c r="AB60" s="100">
        <v>14100</v>
      </c>
      <c r="AC60" s="100">
        <f>S60</f>
        <v>0</v>
      </c>
      <c r="AD60" s="119">
        <f>AC60/AB60</f>
        <v>0</v>
      </c>
      <c r="AE60" s="42"/>
    </row>
    <row r="61" spans="1:31">
      <c r="A61" s="113" t="s">
        <v>163</v>
      </c>
      <c r="B61" s="67"/>
      <c r="C61" s="114"/>
      <c r="D61" s="67"/>
      <c r="E61" s="114"/>
      <c r="F61" s="67"/>
      <c r="G61" s="114"/>
      <c r="H61" s="67"/>
      <c r="I61" s="114"/>
      <c r="J61" s="67"/>
      <c r="K61" s="120"/>
      <c r="L61" s="67"/>
      <c r="M61" s="62"/>
      <c r="N61" s="62"/>
      <c r="O61" s="126"/>
      <c r="P61" s="12"/>
      <c r="Q61" s="12"/>
      <c r="R61" s="64"/>
      <c r="S61" s="63"/>
      <c r="T61" s="12"/>
      <c r="U61" s="64"/>
      <c r="V61" s="93"/>
      <c r="W61" s="94"/>
      <c r="X61" s="94"/>
      <c r="Y61" s="94"/>
      <c r="Z61" s="95"/>
      <c r="AA61" s="62"/>
      <c r="AB61" s="30"/>
      <c r="AC61" s="30"/>
      <c r="AD61" s="63"/>
      <c r="AE61" s="64"/>
    </row>
    <row r="62" spans="1:31">
      <c r="A62" s="113" t="s">
        <v>164</v>
      </c>
      <c r="B62" s="67"/>
      <c r="C62" s="114"/>
      <c r="D62" s="67"/>
      <c r="E62" s="114"/>
      <c r="F62" s="67"/>
      <c r="G62" s="114"/>
      <c r="H62" s="67"/>
      <c r="I62" s="114"/>
      <c r="J62" s="67"/>
      <c r="K62" s="120"/>
      <c r="L62" s="67"/>
      <c r="M62" s="131"/>
      <c r="N62" s="6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62"/>
      <c r="AB62" s="132"/>
      <c r="AC62" s="132"/>
      <c r="AD62" s="133"/>
      <c r="AE62" s="133"/>
    </row>
    <row r="63" spans="1:31">
      <c r="A63" s="113" t="s">
        <v>165</v>
      </c>
      <c r="B63" s="67"/>
      <c r="C63" s="114"/>
      <c r="D63" s="67"/>
      <c r="E63" s="114"/>
      <c r="F63" s="67"/>
      <c r="G63" s="114"/>
      <c r="H63" s="67"/>
      <c r="I63" s="114"/>
      <c r="J63" s="67"/>
      <c r="K63" s="120"/>
      <c r="L63" s="67"/>
      <c r="M63" s="131"/>
      <c r="N63" s="6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62"/>
      <c r="AB63" s="132"/>
      <c r="AC63" s="132"/>
      <c r="AD63" s="133"/>
      <c r="AE63" s="133"/>
    </row>
    <row r="64" spans="1:3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="10" customFormat="1" ht="17.5" spans="1:32">
      <c r="A65" s="134"/>
      <c r="B65" s="135"/>
      <c r="C65" s="135"/>
      <c r="D65" s="135"/>
      <c r="E65" s="135"/>
      <c r="F65" s="136"/>
      <c r="G65" s="136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7"/>
    </row>
    <row r="66" s="10" customFormat="1" ht="74" customHeight="1" spans="1:32">
      <c r="A66" s="138" t="s">
        <v>166</v>
      </c>
      <c r="B66" s="138" t="s">
        <v>167</v>
      </c>
      <c r="C66" s="138" t="s">
        <v>168</v>
      </c>
      <c r="D66" s="139" t="s">
        <v>169</v>
      </c>
      <c r="E66" s="138" t="s">
        <v>170</v>
      </c>
      <c r="F66" s="138" t="s">
        <v>171</v>
      </c>
      <c r="G66" s="42"/>
      <c r="H66" s="138" t="s">
        <v>172</v>
      </c>
      <c r="I66" s="138" t="s">
        <v>173</v>
      </c>
      <c r="J66" s="138" t="s">
        <v>174</v>
      </c>
      <c r="K66" s="138" t="s">
        <v>171</v>
      </c>
      <c r="L66" s="138" t="s">
        <v>175</v>
      </c>
      <c r="M66" s="138" t="s">
        <v>176</v>
      </c>
      <c r="N66" s="138" t="s">
        <v>177</v>
      </c>
      <c r="O66" s="138" t="s">
        <v>178</v>
      </c>
      <c r="P66" s="138" t="s">
        <v>179</v>
      </c>
      <c r="Q66" s="138" t="s">
        <v>177</v>
      </c>
      <c r="R66" s="138" t="s">
        <v>180</v>
      </c>
      <c r="S66" s="138" t="s">
        <v>181</v>
      </c>
      <c r="T66" s="42"/>
      <c r="U66" s="138" t="s">
        <v>170</v>
      </c>
      <c r="V66" s="138" t="s">
        <v>171</v>
      </c>
      <c r="W66" s="138" t="s">
        <v>182</v>
      </c>
      <c r="X66" s="138" t="s">
        <v>183</v>
      </c>
      <c r="Y66" s="138" t="s">
        <v>184</v>
      </c>
      <c r="Z66" s="138" t="s">
        <v>185</v>
      </c>
      <c r="AA66" s="138" t="s">
        <v>186</v>
      </c>
      <c r="AB66" s="138" t="s">
        <v>187</v>
      </c>
      <c r="AC66" s="138" t="s">
        <v>188</v>
      </c>
      <c r="AD66" s="138" t="s">
        <v>189</v>
      </c>
      <c r="AE66" s="140" t="s">
        <v>190</v>
      </c>
    </row>
    <row r="67" s="10" customFormat="1" ht="14.15" customHeight="1" spans="1:32">
      <c r="A67" s="141" t="s">
        <v>191</v>
      </c>
      <c r="B67" s="141" t="s">
        <v>192</v>
      </c>
      <c r="C67" s="141" t="s">
        <v>193</v>
      </c>
      <c r="D67" s="141"/>
      <c r="E67" s="141"/>
      <c r="F67" s="141">
        <f>E67/2500</f>
        <v>0</v>
      </c>
      <c r="G67" s="141"/>
      <c r="H67" s="142" t="s">
        <v>194</v>
      </c>
      <c r="I67" s="142" t="s">
        <v>195</v>
      </c>
      <c r="J67" s="141"/>
      <c r="K67" s="141">
        <f>J67/300</f>
        <v>0</v>
      </c>
      <c r="L67" s="141" t="s">
        <v>193</v>
      </c>
      <c r="M67" s="141"/>
      <c r="N67" s="141"/>
      <c r="O67" s="143" t="s">
        <v>196</v>
      </c>
      <c r="P67" s="141"/>
      <c r="Q67" s="141"/>
      <c r="R67" s="144"/>
      <c r="S67" s="145" t="s">
        <v>197</v>
      </c>
      <c r="T67" s="145"/>
      <c r="U67" s="141">
        <f t="shared" ref="U67:U130" si="0">R67*0.935</f>
        <v>0</v>
      </c>
      <c r="V67" s="141">
        <f t="shared" ref="V67:V130" si="1">U67/215</f>
        <v>0</v>
      </c>
      <c r="W67" s="142">
        <v>202</v>
      </c>
      <c r="X67" s="141">
        <f>SUM(U67:U76)</f>
        <v>0</v>
      </c>
      <c r="Y67" s="141">
        <f>X67/2150</f>
        <v>0</v>
      </c>
      <c r="Z67" s="141">
        <v>170</v>
      </c>
      <c r="AA67" s="146">
        <v>168</v>
      </c>
      <c r="AB67" s="141">
        <f>67/Z67</f>
        <v>0.394117647058824</v>
      </c>
      <c r="AC67" s="141">
        <v>20</v>
      </c>
      <c r="AD67" s="141">
        <v>0</v>
      </c>
      <c r="AE67" s="147" t="s">
        <v>198</v>
      </c>
      <c r="AF67" s="148"/>
    </row>
    <row r="68" s="10" customFormat="1" ht="14.15" customHeight="1" spans="1:32">
      <c r="A68" s="141"/>
      <c r="B68" s="141"/>
      <c r="C68" s="141"/>
      <c r="D68" s="141"/>
      <c r="E68" s="141"/>
      <c r="F68" s="141"/>
      <c r="G68" s="141"/>
      <c r="H68" s="142"/>
      <c r="I68" s="142"/>
      <c r="J68" s="141"/>
      <c r="K68" s="141"/>
      <c r="L68" s="141"/>
      <c r="M68" s="141"/>
      <c r="N68" s="141"/>
      <c r="O68" s="143" t="s">
        <v>199</v>
      </c>
      <c r="P68" s="141"/>
      <c r="Q68" s="141"/>
      <c r="R68" s="144"/>
      <c r="S68" s="145" t="s">
        <v>200</v>
      </c>
      <c r="T68" s="145"/>
      <c r="U68" s="141">
        <f t="shared" si="0"/>
        <v>0</v>
      </c>
      <c r="V68" s="141">
        <f t="shared" si="1"/>
        <v>0</v>
      </c>
      <c r="W68" s="142"/>
      <c r="X68" s="141"/>
      <c r="Y68" s="141"/>
      <c r="Z68" s="141"/>
      <c r="AA68" s="146"/>
      <c r="AB68" s="141"/>
      <c r="AC68" s="141"/>
      <c r="AD68" s="141"/>
      <c r="AE68" s="149"/>
      <c r="AF68" s="148"/>
    </row>
    <row r="69" s="10" customFormat="1" ht="14.15" customHeight="1" spans="1:32">
      <c r="A69" s="141"/>
      <c r="B69" s="141"/>
      <c r="C69" s="141"/>
      <c r="D69" s="141"/>
      <c r="E69" s="141"/>
      <c r="F69" s="141"/>
      <c r="G69" s="141"/>
      <c r="H69" s="142"/>
      <c r="I69" s="142"/>
      <c r="J69" s="141"/>
      <c r="K69" s="141"/>
      <c r="L69" s="141"/>
      <c r="M69" s="141"/>
      <c r="N69" s="141"/>
      <c r="O69" s="143" t="s">
        <v>201</v>
      </c>
      <c r="P69" s="141"/>
      <c r="Q69" s="141"/>
      <c r="R69" s="144"/>
      <c r="S69" s="145" t="s">
        <v>202</v>
      </c>
      <c r="T69" s="145"/>
      <c r="U69" s="141">
        <f t="shared" si="0"/>
        <v>0</v>
      </c>
      <c r="V69" s="141">
        <f t="shared" si="1"/>
        <v>0</v>
      </c>
      <c r="W69" s="142"/>
      <c r="X69" s="141"/>
      <c r="Y69" s="141"/>
      <c r="Z69" s="141"/>
      <c r="AA69" s="146"/>
      <c r="AB69" s="141"/>
      <c r="AC69" s="141"/>
      <c r="AD69" s="141"/>
      <c r="AE69" s="150"/>
      <c r="AF69" s="148"/>
    </row>
    <row r="70" s="10" customFormat="1" ht="14.15" customHeight="1" spans="1:32">
      <c r="A70" s="141"/>
      <c r="B70" s="141"/>
      <c r="C70" s="141"/>
      <c r="D70" s="141"/>
      <c r="E70" s="141"/>
      <c r="F70" s="141"/>
      <c r="G70" s="141"/>
      <c r="H70" s="142"/>
      <c r="I70" s="142"/>
      <c r="J70" s="141"/>
      <c r="K70" s="141"/>
      <c r="L70" s="141"/>
      <c r="M70" s="141"/>
      <c r="N70" s="141"/>
      <c r="O70" s="143" t="s">
        <v>203</v>
      </c>
      <c r="P70" s="141"/>
      <c r="Q70" s="141"/>
      <c r="R70" s="144"/>
      <c r="S70" s="145" t="s">
        <v>204</v>
      </c>
      <c r="T70" s="145"/>
      <c r="U70" s="141">
        <f t="shared" si="0"/>
        <v>0</v>
      </c>
      <c r="V70" s="141">
        <f t="shared" si="1"/>
        <v>0</v>
      </c>
      <c r="W70" s="142"/>
      <c r="X70" s="141"/>
      <c r="Y70" s="141"/>
      <c r="Z70" s="141"/>
      <c r="AA70" s="146"/>
      <c r="AB70" s="141"/>
      <c r="AC70" s="141"/>
      <c r="AD70" s="141"/>
      <c r="AE70" s="147"/>
      <c r="AF70" s="148"/>
    </row>
    <row r="71" s="10" customFormat="1" ht="14.15" customHeight="1" spans="1:32">
      <c r="A71" s="141"/>
      <c r="B71" s="141"/>
      <c r="C71" s="141"/>
      <c r="D71" s="141"/>
      <c r="E71" s="141"/>
      <c r="F71" s="141"/>
      <c r="G71" s="141"/>
      <c r="H71" s="142"/>
      <c r="I71" s="142"/>
      <c r="J71" s="141"/>
      <c r="K71" s="141"/>
      <c r="L71" s="141"/>
      <c r="M71" s="141"/>
      <c r="N71" s="141"/>
      <c r="O71" s="143" t="s">
        <v>205</v>
      </c>
      <c r="P71" s="141"/>
      <c r="Q71" s="141"/>
      <c r="R71" s="144"/>
      <c r="S71" s="145" t="s">
        <v>206</v>
      </c>
      <c r="T71" s="145"/>
      <c r="U71" s="141">
        <f t="shared" si="0"/>
        <v>0</v>
      </c>
      <c r="V71" s="141">
        <f t="shared" si="1"/>
        <v>0</v>
      </c>
      <c r="W71" s="142"/>
      <c r="X71" s="141"/>
      <c r="Y71" s="141"/>
      <c r="Z71" s="141"/>
      <c r="AA71" s="146"/>
      <c r="AB71" s="141"/>
      <c r="AC71" s="141"/>
      <c r="AD71" s="141"/>
      <c r="AE71" s="150"/>
      <c r="AF71" s="148"/>
    </row>
    <row r="72" s="10" customFormat="1" ht="14.15" customHeight="1" spans="1:32">
      <c r="A72" s="141"/>
      <c r="B72" s="141" t="s">
        <v>207</v>
      </c>
      <c r="C72" s="141" t="s">
        <v>193</v>
      </c>
      <c r="D72" s="141"/>
      <c r="E72" s="141"/>
      <c r="F72" s="141">
        <f>E72/2500</f>
        <v>0</v>
      </c>
      <c r="G72" s="141"/>
      <c r="H72" s="142" t="s">
        <v>194</v>
      </c>
      <c r="I72" s="142"/>
      <c r="J72" s="141"/>
      <c r="K72" s="141"/>
      <c r="L72" s="141"/>
      <c r="M72" s="141"/>
      <c r="N72" s="141"/>
      <c r="O72" s="143" t="s">
        <v>208</v>
      </c>
      <c r="P72" s="141"/>
      <c r="Q72" s="141"/>
      <c r="R72" s="144"/>
      <c r="S72" s="145" t="s">
        <v>209</v>
      </c>
      <c r="T72" s="145"/>
      <c r="U72" s="141">
        <f t="shared" si="0"/>
        <v>0</v>
      </c>
      <c r="V72" s="141">
        <f t="shared" si="1"/>
        <v>0</v>
      </c>
      <c r="W72" s="142"/>
      <c r="X72" s="141"/>
      <c r="Y72" s="141"/>
      <c r="Z72" s="141"/>
      <c r="AA72" s="146"/>
      <c r="AB72" s="141"/>
      <c r="AC72" s="141"/>
      <c r="AD72" s="141"/>
      <c r="AE72" s="147" t="s">
        <v>210</v>
      </c>
      <c r="AF72" s="148"/>
    </row>
    <row r="73" s="10" customFormat="1" ht="14.15" customHeight="1" spans="1:32">
      <c r="A73" s="141"/>
      <c r="B73" s="141"/>
      <c r="C73" s="141"/>
      <c r="D73" s="141"/>
      <c r="E73" s="141"/>
      <c r="F73" s="141"/>
      <c r="G73" s="141"/>
      <c r="H73" s="142"/>
      <c r="I73" s="142"/>
      <c r="J73" s="141"/>
      <c r="K73" s="141"/>
      <c r="L73" s="141"/>
      <c r="M73" s="141"/>
      <c r="N73" s="141"/>
      <c r="O73" s="143" t="s">
        <v>211</v>
      </c>
      <c r="P73" s="141"/>
      <c r="Q73" s="141"/>
      <c r="R73" s="144"/>
      <c r="S73" s="145" t="s">
        <v>212</v>
      </c>
      <c r="T73" s="145"/>
      <c r="U73" s="141">
        <f t="shared" si="0"/>
        <v>0</v>
      </c>
      <c r="V73" s="141">
        <f t="shared" si="1"/>
        <v>0</v>
      </c>
      <c r="W73" s="142"/>
      <c r="X73" s="141"/>
      <c r="Y73" s="141"/>
      <c r="Z73" s="141"/>
      <c r="AA73" s="146"/>
      <c r="AB73" s="141"/>
      <c r="AC73" s="141"/>
      <c r="AD73" s="141"/>
      <c r="AE73" s="149"/>
      <c r="AF73" s="148"/>
    </row>
    <row r="74" s="10" customFormat="1" ht="14.15" customHeight="1" spans="1:32">
      <c r="A74" s="141"/>
      <c r="B74" s="141"/>
      <c r="C74" s="141"/>
      <c r="D74" s="141"/>
      <c r="E74" s="141"/>
      <c r="F74" s="141"/>
      <c r="G74" s="141"/>
      <c r="H74" s="142"/>
      <c r="I74" s="142"/>
      <c r="J74" s="141"/>
      <c r="K74" s="141"/>
      <c r="L74" s="141"/>
      <c r="M74" s="141"/>
      <c r="N74" s="141"/>
      <c r="O74" s="143" t="s">
        <v>213</v>
      </c>
      <c r="P74" s="141"/>
      <c r="Q74" s="141"/>
      <c r="R74" s="144"/>
      <c r="S74" s="145" t="s">
        <v>214</v>
      </c>
      <c r="T74" s="145"/>
      <c r="U74" s="141">
        <f t="shared" si="0"/>
        <v>0</v>
      </c>
      <c r="V74" s="141">
        <f t="shared" si="1"/>
        <v>0</v>
      </c>
      <c r="W74" s="142"/>
      <c r="X74" s="141"/>
      <c r="Y74" s="141"/>
      <c r="Z74" s="141"/>
      <c r="AA74" s="146"/>
      <c r="AB74" s="141"/>
      <c r="AC74" s="141"/>
      <c r="AD74" s="141"/>
      <c r="AE74" s="150"/>
      <c r="AF74" s="148"/>
    </row>
    <row r="75" s="10" customFormat="1" ht="14.15" customHeight="1" spans="1:32">
      <c r="A75" s="141"/>
      <c r="B75" s="141"/>
      <c r="C75" s="141"/>
      <c r="D75" s="141"/>
      <c r="E75" s="141"/>
      <c r="F75" s="141"/>
      <c r="G75" s="141"/>
      <c r="H75" s="142"/>
      <c r="I75" s="142"/>
      <c r="J75" s="141"/>
      <c r="K75" s="141"/>
      <c r="L75" s="141"/>
      <c r="M75" s="141"/>
      <c r="N75" s="141"/>
      <c r="O75" s="143" t="s">
        <v>215</v>
      </c>
      <c r="P75" s="141"/>
      <c r="Q75" s="141"/>
      <c r="R75" s="144"/>
      <c r="S75" s="145" t="s">
        <v>216</v>
      </c>
      <c r="T75" s="145"/>
      <c r="U75" s="141">
        <f t="shared" si="0"/>
        <v>0</v>
      </c>
      <c r="V75" s="141">
        <f t="shared" si="1"/>
        <v>0</v>
      </c>
      <c r="W75" s="142"/>
      <c r="X75" s="141"/>
      <c r="Y75" s="141"/>
      <c r="Z75" s="141"/>
      <c r="AA75" s="146"/>
      <c r="AB75" s="141"/>
      <c r="AC75" s="141"/>
      <c r="AD75" s="141"/>
      <c r="AE75" s="147"/>
      <c r="AF75" s="148"/>
    </row>
    <row r="76" s="10" customFormat="1" ht="14.15" customHeight="1" spans="1:32">
      <c r="A76" s="141"/>
      <c r="B76" s="141"/>
      <c r="C76" s="141"/>
      <c r="D76" s="141"/>
      <c r="E76" s="141"/>
      <c r="F76" s="141"/>
      <c r="G76" s="141"/>
      <c r="H76" s="142"/>
      <c r="I76" s="142"/>
      <c r="J76" s="141"/>
      <c r="K76" s="141"/>
      <c r="L76" s="141"/>
      <c r="M76" s="141"/>
      <c r="N76" s="141"/>
      <c r="O76" s="143" t="s">
        <v>217</v>
      </c>
      <c r="P76" s="141"/>
      <c r="Q76" s="141"/>
      <c r="R76" s="144"/>
      <c r="S76" s="145" t="s">
        <v>218</v>
      </c>
      <c r="T76" s="145"/>
      <c r="U76" s="141">
        <f t="shared" si="0"/>
        <v>0</v>
      </c>
      <c r="V76" s="141">
        <f t="shared" si="1"/>
        <v>0</v>
      </c>
      <c r="W76" s="142"/>
      <c r="X76" s="141"/>
      <c r="Y76" s="141"/>
      <c r="Z76" s="141"/>
      <c r="AA76" s="146"/>
      <c r="AB76" s="141"/>
      <c r="AC76" s="141"/>
      <c r="AD76" s="141"/>
      <c r="AE76" s="150"/>
      <c r="AF76" s="148"/>
    </row>
    <row r="77" s="10" customFormat="1" ht="14.15" customHeight="1" spans="1:32">
      <c r="A77" s="141" t="s">
        <v>219</v>
      </c>
      <c r="B77" s="141" t="s">
        <v>220</v>
      </c>
      <c r="C77" s="141" t="s">
        <v>193</v>
      </c>
      <c r="D77" s="141"/>
      <c r="E77" s="141"/>
      <c r="F77" s="141">
        <f>E77/2500</f>
        <v>0</v>
      </c>
      <c r="G77" s="141"/>
      <c r="H77" s="142" t="s">
        <v>194</v>
      </c>
      <c r="I77" s="151" t="s">
        <v>221</v>
      </c>
      <c r="J77" s="141"/>
      <c r="K77" s="141">
        <f>J77/300</f>
        <v>0</v>
      </c>
      <c r="L77" s="141" t="s">
        <v>193</v>
      </c>
      <c r="M77" s="141"/>
      <c r="N77" s="141"/>
      <c r="O77" s="143" t="s">
        <v>222</v>
      </c>
      <c r="P77" s="141"/>
      <c r="Q77" s="141"/>
      <c r="R77" s="144"/>
      <c r="S77" s="145" t="s">
        <v>223</v>
      </c>
      <c r="T77" s="145"/>
      <c r="U77" s="141">
        <f t="shared" si="0"/>
        <v>0</v>
      </c>
      <c r="V77" s="141">
        <f t="shared" si="1"/>
        <v>0</v>
      </c>
      <c r="W77" s="142">
        <v>201</v>
      </c>
      <c r="X77" s="141">
        <f>SUM(U77:U86)</f>
        <v>0</v>
      </c>
      <c r="Y77" s="141">
        <f>X77/2150</f>
        <v>0</v>
      </c>
      <c r="Z77" s="141">
        <v>170</v>
      </c>
      <c r="AA77" s="146">
        <v>170</v>
      </c>
      <c r="AB77" s="141">
        <f>77/Z77</f>
        <v>0.452941176470588</v>
      </c>
      <c r="AC77" s="141">
        <v>20</v>
      </c>
      <c r="AD77" s="141">
        <v>0</v>
      </c>
      <c r="AE77" s="147" t="s">
        <v>198</v>
      </c>
      <c r="AF77" s="148"/>
    </row>
    <row r="78" s="10" customFormat="1" ht="14.15" customHeight="1" spans="1:32">
      <c r="A78" s="141"/>
      <c r="B78" s="141"/>
      <c r="C78" s="141"/>
      <c r="D78" s="141"/>
      <c r="E78" s="141"/>
      <c r="F78" s="141"/>
      <c r="G78" s="141"/>
      <c r="H78" s="142"/>
      <c r="I78" s="151"/>
      <c r="J78" s="141"/>
      <c r="K78" s="141"/>
      <c r="L78" s="141"/>
      <c r="M78" s="141"/>
      <c r="N78" s="141"/>
      <c r="O78" s="143" t="s">
        <v>224</v>
      </c>
      <c r="P78" s="141"/>
      <c r="Q78" s="141"/>
      <c r="R78" s="144"/>
      <c r="S78" s="145" t="s">
        <v>225</v>
      </c>
      <c r="T78" s="145"/>
      <c r="U78" s="141">
        <f t="shared" si="0"/>
        <v>0</v>
      </c>
      <c r="V78" s="141">
        <f t="shared" si="1"/>
        <v>0</v>
      </c>
      <c r="W78" s="142"/>
      <c r="X78" s="141"/>
      <c r="Y78" s="141"/>
      <c r="Z78" s="141"/>
      <c r="AA78" s="146"/>
      <c r="AB78" s="141"/>
      <c r="AC78" s="141"/>
      <c r="AD78" s="141"/>
      <c r="AE78" s="149"/>
      <c r="AF78" s="148"/>
    </row>
    <row r="79" s="10" customFormat="1" ht="14.15" customHeight="1" spans="1:32">
      <c r="A79" s="141"/>
      <c r="B79" s="141"/>
      <c r="C79" s="141"/>
      <c r="D79" s="141"/>
      <c r="E79" s="141"/>
      <c r="F79" s="141"/>
      <c r="G79" s="141"/>
      <c r="H79" s="142"/>
      <c r="I79" s="151"/>
      <c r="J79" s="141"/>
      <c r="K79" s="141"/>
      <c r="L79" s="141"/>
      <c r="M79" s="141"/>
      <c r="N79" s="141"/>
      <c r="O79" s="143" t="s">
        <v>226</v>
      </c>
      <c r="P79" s="141"/>
      <c r="Q79" s="141"/>
      <c r="R79" s="144"/>
      <c r="S79" s="145" t="s">
        <v>227</v>
      </c>
      <c r="T79" s="145"/>
      <c r="U79" s="141">
        <f t="shared" si="0"/>
        <v>0</v>
      </c>
      <c r="V79" s="141">
        <f t="shared" si="1"/>
        <v>0</v>
      </c>
      <c r="W79" s="142"/>
      <c r="X79" s="141"/>
      <c r="Y79" s="141"/>
      <c r="Z79" s="141"/>
      <c r="AA79" s="146"/>
      <c r="AB79" s="141"/>
      <c r="AC79" s="141"/>
      <c r="AD79" s="141"/>
      <c r="AE79" s="150"/>
      <c r="AF79" s="148"/>
    </row>
    <row r="80" s="10" customFormat="1" ht="14.15" customHeight="1" spans="1:32">
      <c r="A80" s="141"/>
      <c r="B80" s="141"/>
      <c r="C80" s="141"/>
      <c r="D80" s="141"/>
      <c r="E80" s="141"/>
      <c r="F80" s="141"/>
      <c r="G80" s="141"/>
      <c r="H80" s="142"/>
      <c r="I80" s="151"/>
      <c r="J80" s="141"/>
      <c r="K80" s="141"/>
      <c r="L80" s="141"/>
      <c r="M80" s="141"/>
      <c r="N80" s="141"/>
      <c r="O80" s="143" t="s">
        <v>228</v>
      </c>
      <c r="P80" s="141"/>
      <c r="Q80" s="141"/>
      <c r="R80" s="144"/>
      <c r="S80" s="145" t="s">
        <v>229</v>
      </c>
      <c r="T80" s="145"/>
      <c r="U80" s="141">
        <f t="shared" si="0"/>
        <v>0</v>
      </c>
      <c r="V80" s="141">
        <f t="shared" si="1"/>
        <v>0</v>
      </c>
      <c r="W80" s="142"/>
      <c r="X80" s="141"/>
      <c r="Y80" s="141"/>
      <c r="Z80" s="141"/>
      <c r="AA80" s="146"/>
      <c r="AB80" s="141"/>
      <c r="AC80" s="141"/>
      <c r="AD80" s="141"/>
      <c r="AE80" s="147"/>
      <c r="AF80" s="148"/>
    </row>
    <row r="81" s="10" customFormat="1" ht="14.15" customHeight="1" spans="1:32">
      <c r="A81" s="141"/>
      <c r="B81" s="141"/>
      <c r="C81" s="141"/>
      <c r="D81" s="141"/>
      <c r="E81" s="141"/>
      <c r="F81" s="141"/>
      <c r="G81" s="141"/>
      <c r="H81" s="142"/>
      <c r="I81" s="151"/>
      <c r="J81" s="141"/>
      <c r="K81" s="141"/>
      <c r="L81" s="141"/>
      <c r="M81" s="141"/>
      <c r="N81" s="141"/>
      <c r="O81" s="143" t="s">
        <v>230</v>
      </c>
      <c r="P81" s="141"/>
      <c r="Q81" s="141"/>
      <c r="R81" s="144"/>
      <c r="S81" s="145" t="s">
        <v>231</v>
      </c>
      <c r="T81" s="145"/>
      <c r="U81" s="141">
        <f t="shared" si="0"/>
        <v>0</v>
      </c>
      <c r="V81" s="141">
        <f t="shared" si="1"/>
        <v>0</v>
      </c>
      <c r="W81" s="142"/>
      <c r="X81" s="141"/>
      <c r="Y81" s="141"/>
      <c r="Z81" s="141"/>
      <c r="AA81" s="146"/>
      <c r="AB81" s="141"/>
      <c r="AC81" s="141"/>
      <c r="AD81" s="141"/>
      <c r="AE81" s="150"/>
      <c r="AF81" s="148"/>
    </row>
    <row r="82" s="10" customFormat="1" ht="14.15" customHeight="1" spans="1:32">
      <c r="A82" s="141"/>
      <c r="B82" s="141" t="s">
        <v>232</v>
      </c>
      <c r="C82" s="141" t="s">
        <v>193</v>
      </c>
      <c r="D82" s="141"/>
      <c r="E82" s="141"/>
      <c r="F82" s="141">
        <f>E82/2500</f>
        <v>0</v>
      </c>
      <c r="G82" s="141"/>
      <c r="H82" s="142" t="s">
        <v>194</v>
      </c>
      <c r="I82" s="151"/>
      <c r="J82" s="141"/>
      <c r="K82" s="141"/>
      <c r="L82" s="141"/>
      <c r="M82" s="141"/>
      <c r="N82" s="141"/>
      <c r="O82" s="143" t="s">
        <v>233</v>
      </c>
      <c r="P82" s="141"/>
      <c r="Q82" s="141"/>
      <c r="R82" s="144"/>
      <c r="S82" s="145" t="s">
        <v>234</v>
      </c>
      <c r="T82" s="145"/>
      <c r="U82" s="141">
        <f t="shared" si="0"/>
        <v>0</v>
      </c>
      <c r="V82" s="141">
        <f t="shared" si="1"/>
        <v>0</v>
      </c>
      <c r="W82" s="142"/>
      <c r="X82" s="141"/>
      <c r="Y82" s="141"/>
      <c r="Z82" s="141"/>
      <c r="AA82" s="146"/>
      <c r="AB82" s="141"/>
      <c r="AC82" s="141"/>
      <c r="AD82" s="141"/>
      <c r="AE82" s="147" t="s">
        <v>210</v>
      </c>
      <c r="AF82" s="148"/>
    </row>
    <row r="83" s="10" customFormat="1" ht="14.15" customHeight="1" spans="1:32">
      <c r="A83" s="141"/>
      <c r="B83" s="141"/>
      <c r="C83" s="141"/>
      <c r="D83" s="141"/>
      <c r="E83" s="141"/>
      <c r="F83" s="141"/>
      <c r="G83" s="141"/>
      <c r="H83" s="142"/>
      <c r="I83" s="151"/>
      <c r="J83" s="141"/>
      <c r="K83" s="141"/>
      <c r="L83" s="141"/>
      <c r="M83" s="141"/>
      <c r="N83" s="141"/>
      <c r="O83" s="143" t="s">
        <v>235</v>
      </c>
      <c r="P83" s="141"/>
      <c r="Q83" s="141"/>
      <c r="R83" s="144"/>
      <c r="S83" s="145" t="s">
        <v>236</v>
      </c>
      <c r="T83" s="145"/>
      <c r="U83" s="141">
        <f t="shared" si="0"/>
        <v>0</v>
      </c>
      <c r="V83" s="141">
        <f t="shared" si="1"/>
        <v>0</v>
      </c>
      <c r="W83" s="142"/>
      <c r="X83" s="141"/>
      <c r="Y83" s="141"/>
      <c r="Z83" s="141"/>
      <c r="AA83" s="146"/>
      <c r="AB83" s="141"/>
      <c r="AC83" s="141"/>
      <c r="AD83" s="141"/>
      <c r="AE83" s="149"/>
      <c r="AF83" s="148"/>
    </row>
    <row r="84" s="10" customFormat="1" ht="14.15" customHeight="1" spans="1:32">
      <c r="A84" s="141"/>
      <c r="B84" s="141"/>
      <c r="C84" s="141"/>
      <c r="D84" s="141"/>
      <c r="E84" s="141"/>
      <c r="F84" s="141"/>
      <c r="G84" s="141"/>
      <c r="H84" s="142"/>
      <c r="I84" s="151"/>
      <c r="J84" s="141"/>
      <c r="K84" s="141"/>
      <c r="L84" s="141"/>
      <c r="M84" s="141"/>
      <c r="N84" s="141"/>
      <c r="O84" s="143" t="s">
        <v>237</v>
      </c>
      <c r="P84" s="141"/>
      <c r="Q84" s="141"/>
      <c r="R84" s="144"/>
      <c r="S84" s="145" t="s">
        <v>238</v>
      </c>
      <c r="T84" s="145"/>
      <c r="U84" s="141">
        <f t="shared" si="0"/>
        <v>0</v>
      </c>
      <c r="V84" s="141">
        <f t="shared" si="1"/>
        <v>0</v>
      </c>
      <c r="W84" s="142"/>
      <c r="X84" s="141"/>
      <c r="Y84" s="141"/>
      <c r="Z84" s="141"/>
      <c r="AA84" s="146"/>
      <c r="AB84" s="141"/>
      <c r="AC84" s="141"/>
      <c r="AD84" s="141"/>
      <c r="AE84" s="150"/>
      <c r="AF84" s="148"/>
    </row>
    <row r="85" s="10" customFormat="1" ht="14.15" customHeight="1" spans="1:32">
      <c r="A85" s="141"/>
      <c r="B85" s="141"/>
      <c r="C85" s="141"/>
      <c r="D85" s="141"/>
      <c r="E85" s="141"/>
      <c r="F85" s="141"/>
      <c r="G85" s="141"/>
      <c r="H85" s="142"/>
      <c r="I85" s="151"/>
      <c r="J85" s="141"/>
      <c r="K85" s="141"/>
      <c r="L85" s="141"/>
      <c r="M85" s="141"/>
      <c r="N85" s="141"/>
      <c r="O85" s="143" t="s">
        <v>239</v>
      </c>
      <c r="P85" s="141"/>
      <c r="Q85" s="141"/>
      <c r="R85" s="144"/>
      <c r="S85" s="145" t="s">
        <v>240</v>
      </c>
      <c r="T85" s="145"/>
      <c r="U85" s="141">
        <f t="shared" si="0"/>
        <v>0</v>
      </c>
      <c r="V85" s="141">
        <f t="shared" si="1"/>
        <v>0</v>
      </c>
      <c r="W85" s="142"/>
      <c r="X85" s="141"/>
      <c r="Y85" s="141"/>
      <c r="Z85" s="141"/>
      <c r="AA85" s="146"/>
      <c r="AB85" s="141"/>
      <c r="AC85" s="141"/>
      <c r="AD85" s="141"/>
      <c r="AE85" s="147"/>
      <c r="AF85" s="148"/>
    </row>
    <row r="86" s="10" customFormat="1" ht="14.15" customHeight="1" spans="1:32">
      <c r="A86" s="141"/>
      <c r="B86" s="141"/>
      <c r="C86" s="141"/>
      <c r="D86" s="141"/>
      <c r="E86" s="141"/>
      <c r="F86" s="141"/>
      <c r="G86" s="141"/>
      <c r="H86" s="142"/>
      <c r="I86" s="151"/>
      <c r="J86" s="141"/>
      <c r="K86" s="141"/>
      <c r="L86" s="141"/>
      <c r="M86" s="141"/>
      <c r="N86" s="141"/>
      <c r="O86" s="143" t="s">
        <v>241</v>
      </c>
      <c r="P86" s="141"/>
      <c r="Q86" s="141"/>
      <c r="R86" s="144"/>
      <c r="S86" s="145" t="s">
        <v>242</v>
      </c>
      <c r="T86" s="145"/>
      <c r="U86" s="141">
        <f t="shared" si="0"/>
        <v>0</v>
      </c>
      <c r="V86" s="141">
        <f t="shared" si="1"/>
        <v>0</v>
      </c>
      <c r="W86" s="142"/>
      <c r="X86" s="141"/>
      <c r="Y86" s="141"/>
      <c r="Z86" s="141"/>
      <c r="AA86" s="146"/>
      <c r="AB86" s="141"/>
      <c r="AC86" s="141"/>
      <c r="AD86" s="141"/>
      <c r="AE86" s="150"/>
      <c r="AF86" s="148"/>
    </row>
    <row r="87" s="10" customFormat="1" ht="14.15" customHeight="1" spans="1:32">
      <c r="A87" s="141" t="s">
        <v>243</v>
      </c>
      <c r="B87" s="141" t="s">
        <v>244</v>
      </c>
      <c r="C87" s="141" t="s">
        <v>193</v>
      </c>
      <c r="D87" s="141"/>
      <c r="E87" s="141"/>
      <c r="F87" s="141">
        <f>E87/2500</f>
        <v>0</v>
      </c>
      <c r="G87" s="141"/>
      <c r="H87" s="142" t="s">
        <v>194</v>
      </c>
      <c r="I87" s="142" t="s">
        <v>245</v>
      </c>
      <c r="J87" s="141"/>
      <c r="K87" s="141">
        <f>J87/300</f>
        <v>0</v>
      </c>
      <c r="L87" s="141" t="s">
        <v>193</v>
      </c>
      <c r="M87" s="141"/>
      <c r="N87" s="141"/>
      <c r="O87" s="152" t="s">
        <v>246</v>
      </c>
      <c r="P87" s="141"/>
      <c r="Q87" s="141"/>
      <c r="R87" s="144"/>
      <c r="S87" s="145" t="s">
        <v>247</v>
      </c>
      <c r="T87" s="145"/>
      <c r="U87" s="141">
        <f t="shared" si="0"/>
        <v>0</v>
      </c>
      <c r="V87" s="141">
        <f t="shared" si="1"/>
        <v>0</v>
      </c>
      <c r="W87" s="142">
        <v>302</v>
      </c>
      <c r="X87" s="141">
        <f>SUM(U87:U100)</f>
        <v>0</v>
      </c>
      <c r="Y87" s="141">
        <f>X87/2150</f>
        <v>0</v>
      </c>
      <c r="Z87" s="141">
        <v>154</v>
      </c>
      <c r="AA87" s="146">
        <v>140</v>
      </c>
      <c r="AB87" s="141">
        <f>87/Z87</f>
        <v>0.564935064935065</v>
      </c>
      <c r="AC87" s="141">
        <v>12</v>
      </c>
      <c r="AD87" s="141">
        <v>8</v>
      </c>
      <c r="AE87" s="147" t="s">
        <v>198</v>
      </c>
      <c r="AF87" s="148"/>
    </row>
    <row r="88" s="10" customFormat="1" ht="14.15" customHeight="1" spans="1:32">
      <c r="A88" s="141"/>
      <c r="B88" s="141"/>
      <c r="C88" s="141"/>
      <c r="D88" s="141"/>
      <c r="E88" s="141"/>
      <c r="F88" s="141"/>
      <c r="G88" s="141"/>
      <c r="H88" s="142"/>
      <c r="I88" s="142"/>
      <c r="J88" s="141"/>
      <c r="K88" s="141"/>
      <c r="L88" s="141"/>
      <c r="M88" s="141"/>
      <c r="N88" s="141"/>
      <c r="O88" s="152" t="s">
        <v>248</v>
      </c>
      <c r="P88" s="141"/>
      <c r="Q88" s="141"/>
      <c r="R88" s="144"/>
      <c r="S88" s="145" t="s">
        <v>249</v>
      </c>
      <c r="T88" s="145"/>
      <c r="U88" s="141">
        <f t="shared" si="0"/>
        <v>0</v>
      </c>
      <c r="V88" s="141">
        <f t="shared" si="1"/>
        <v>0</v>
      </c>
      <c r="W88" s="142"/>
      <c r="X88" s="141"/>
      <c r="Y88" s="141"/>
      <c r="Z88" s="141"/>
      <c r="AA88" s="146"/>
      <c r="AB88" s="141"/>
      <c r="AC88" s="141"/>
      <c r="AD88" s="141"/>
      <c r="AE88" s="149"/>
      <c r="AF88" s="148"/>
    </row>
    <row r="89" s="10" customFormat="1" ht="14.15" customHeight="1" spans="1:32">
      <c r="A89" s="141"/>
      <c r="B89" s="141"/>
      <c r="C89" s="141"/>
      <c r="D89" s="141"/>
      <c r="E89" s="141"/>
      <c r="F89" s="141"/>
      <c r="G89" s="141"/>
      <c r="H89" s="142"/>
      <c r="I89" s="142"/>
      <c r="J89" s="141"/>
      <c r="K89" s="141"/>
      <c r="L89" s="141"/>
      <c r="M89" s="141"/>
      <c r="N89" s="141"/>
      <c r="O89" s="152" t="s">
        <v>250</v>
      </c>
      <c r="P89" s="141"/>
      <c r="Q89" s="141"/>
      <c r="R89" s="144"/>
      <c r="S89" s="145" t="s">
        <v>251</v>
      </c>
      <c r="T89" s="145"/>
      <c r="U89" s="141">
        <f t="shared" si="0"/>
        <v>0</v>
      </c>
      <c r="V89" s="141">
        <f t="shared" si="1"/>
        <v>0</v>
      </c>
      <c r="W89" s="142"/>
      <c r="X89" s="141"/>
      <c r="Y89" s="141"/>
      <c r="Z89" s="141"/>
      <c r="AA89" s="146"/>
      <c r="AB89" s="141"/>
      <c r="AC89" s="141"/>
      <c r="AD89" s="141"/>
      <c r="AE89" s="149"/>
      <c r="AF89" s="148"/>
    </row>
    <row r="90" s="10" customFormat="1" ht="14.15" customHeight="1" spans="1:32">
      <c r="A90" s="141"/>
      <c r="B90" s="141"/>
      <c r="C90" s="141"/>
      <c r="D90" s="141"/>
      <c r="E90" s="141"/>
      <c r="F90" s="141"/>
      <c r="G90" s="141"/>
      <c r="H90" s="142"/>
      <c r="I90" s="142"/>
      <c r="J90" s="141"/>
      <c r="K90" s="141"/>
      <c r="L90" s="141"/>
      <c r="M90" s="141"/>
      <c r="N90" s="141"/>
      <c r="O90" s="152" t="s">
        <v>252</v>
      </c>
      <c r="P90" s="141"/>
      <c r="Q90" s="141"/>
      <c r="R90" s="144"/>
      <c r="S90" s="145" t="s">
        <v>253</v>
      </c>
      <c r="T90" s="145"/>
      <c r="U90" s="141">
        <f t="shared" si="0"/>
        <v>0</v>
      </c>
      <c r="V90" s="141">
        <f t="shared" si="1"/>
        <v>0</v>
      </c>
      <c r="W90" s="142"/>
      <c r="X90" s="141"/>
      <c r="Y90" s="141"/>
      <c r="Z90" s="141"/>
      <c r="AA90" s="146"/>
      <c r="AB90" s="141"/>
      <c r="AC90" s="141"/>
      <c r="AD90" s="141"/>
      <c r="AE90" s="150"/>
      <c r="AF90" s="148"/>
    </row>
    <row r="91" s="10" customFormat="1" ht="14.15" customHeight="1" spans="1:32">
      <c r="A91" s="141"/>
      <c r="B91" s="141"/>
      <c r="C91" s="141"/>
      <c r="D91" s="141"/>
      <c r="E91" s="141"/>
      <c r="F91" s="141"/>
      <c r="G91" s="141"/>
      <c r="H91" s="142"/>
      <c r="I91" s="142"/>
      <c r="J91" s="141"/>
      <c r="K91" s="141"/>
      <c r="L91" s="141"/>
      <c r="M91" s="141"/>
      <c r="N91" s="141"/>
      <c r="O91" s="152" t="s">
        <v>254</v>
      </c>
      <c r="P91" s="141"/>
      <c r="Q91" s="141"/>
      <c r="R91" s="144"/>
      <c r="S91" s="145" t="s">
        <v>255</v>
      </c>
      <c r="T91" s="145"/>
      <c r="U91" s="141">
        <f t="shared" si="0"/>
        <v>0</v>
      </c>
      <c r="V91" s="141">
        <f t="shared" si="1"/>
        <v>0</v>
      </c>
      <c r="W91" s="142"/>
      <c r="X91" s="141"/>
      <c r="Y91" s="141"/>
      <c r="Z91" s="141"/>
      <c r="AA91" s="146"/>
      <c r="AB91" s="141"/>
      <c r="AC91" s="141"/>
      <c r="AD91" s="141"/>
      <c r="AE91" s="147"/>
      <c r="AF91" s="148"/>
    </row>
    <row r="92" s="10" customFormat="1" ht="14.15" customHeight="1" spans="1:32">
      <c r="A92" s="141"/>
      <c r="B92" s="141"/>
      <c r="C92" s="141"/>
      <c r="D92" s="141"/>
      <c r="E92" s="141"/>
      <c r="F92" s="141"/>
      <c r="G92" s="141"/>
      <c r="H92" s="142"/>
      <c r="I92" s="142"/>
      <c r="J92" s="141"/>
      <c r="K92" s="141"/>
      <c r="L92" s="141"/>
      <c r="M92" s="141"/>
      <c r="N92" s="141"/>
      <c r="O92" s="152" t="s">
        <v>256</v>
      </c>
      <c r="P92" s="141"/>
      <c r="Q92" s="141"/>
      <c r="R92" s="144"/>
      <c r="S92" s="145" t="s">
        <v>257</v>
      </c>
      <c r="T92" s="145"/>
      <c r="U92" s="141">
        <f t="shared" si="0"/>
        <v>0</v>
      </c>
      <c r="V92" s="141">
        <f t="shared" si="1"/>
        <v>0</v>
      </c>
      <c r="W92" s="142"/>
      <c r="X92" s="141"/>
      <c r="Y92" s="141"/>
      <c r="Z92" s="141"/>
      <c r="AA92" s="146"/>
      <c r="AB92" s="141"/>
      <c r="AC92" s="141"/>
      <c r="AD92" s="141"/>
      <c r="AE92" s="149"/>
      <c r="AF92" s="148"/>
    </row>
    <row r="93" s="10" customFormat="1" ht="14.15" customHeight="1" spans="1:32">
      <c r="A93" s="141"/>
      <c r="B93" s="141"/>
      <c r="C93" s="141"/>
      <c r="D93" s="141"/>
      <c r="E93" s="141"/>
      <c r="F93" s="141"/>
      <c r="G93" s="141"/>
      <c r="H93" s="142"/>
      <c r="I93" s="142"/>
      <c r="J93" s="141"/>
      <c r="K93" s="141"/>
      <c r="L93" s="141"/>
      <c r="M93" s="141"/>
      <c r="N93" s="141"/>
      <c r="O93" s="152" t="s">
        <v>258</v>
      </c>
      <c r="P93" s="141"/>
      <c r="Q93" s="141"/>
      <c r="R93" s="144"/>
      <c r="S93" s="145" t="s">
        <v>259</v>
      </c>
      <c r="T93" s="145"/>
      <c r="U93" s="141">
        <f t="shared" si="0"/>
        <v>0</v>
      </c>
      <c r="V93" s="141">
        <f t="shared" si="1"/>
        <v>0</v>
      </c>
      <c r="W93" s="142"/>
      <c r="X93" s="141"/>
      <c r="Y93" s="141"/>
      <c r="Z93" s="141"/>
      <c r="AA93" s="146"/>
      <c r="AB93" s="141"/>
      <c r="AC93" s="141"/>
      <c r="AD93" s="141"/>
      <c r="AE93" s="150"/>
      <c r="AF93" s="148"/>
    </row>
    <row r="94" s="10" customFormat="1" ht="14.15" customHeight="1" spans="1:32">
      <c r="A94" s="141"/>
      <c r="B94" s="141" t="s">
        <v>260</v>
      </c>
      <c r="C94" s="141" t="s">
        <v>193</v>
      </c>
      <c r="D94" s="141"/>
      <c r="E94" s="141"/>
      <c r="F94" s="141">
        <f>E94/2500</f>
        <v>0</v>
      </c>
      <c r="G94" s="141"/>
      <c r="H94" s="142" t="s">
        <v>194</v>
      </c>
      <c r="I94" s="142"/>
      <c r="J94" s="141"/>
      <c r="K94" s="141"/>
      <c r="L94" s="141"/>
      <c r="M94" s="141"/>
      <c r="N94" s="141"/>
      <c r="O94" s="152" t="s">
        <v>261</v>
      </c>
      <c r="P94" s="141"/>
      <c r="Q94" s="141"/>
      <c r="R94" s="144"/>
      <c r="S94" s="145" t="s">
        <v>262</v>
      </c>
      <c r="T94" s="145"/>
      <c r="U94" s="141">
        <f t="shared" si="0"/>
        <v>0</v>
      </c>
      <c r="V94" s="141">
        <f t="shared" si="1"/>
        <v>0</v>
      </c>
      <c r="W94" s="142"/>
      <c r="X94" s="141"/>
      <c r="Y94" s="141"/>
      <c r="Z94" s="141"/>
      <c r="AA94" s="146"/>
      <c r="AB94" s="141"/>
      <c r="AC94" s="141"/>
      <c r="AD94" s="141"/>
      <c r="AE94" s="147" t="s">
        <v>210</v>
      </c>
      <c r="AF94" s="148"/>
    </row>
    <row r="95" s="10" customFormat="1" ht="14.15" customHeight="1" spans="1:32">
      <c r="A95" s="141"/>
      <c r="B95" s="141"/>
      <c r="C95" s="141"/>
      <c r="D95" s="141"/>
      <c r="E95" s="141"/>
      <c r="F95" s="141"/>
      <c r="G95" s="141"/>
      <c r="H95" s="142"/>
      <c r="I95" s="142"/>
      <c r="J95" s="141"/>
      <c r="K95" s="141"/>
      <c r="L95" s="141"/>
      <c r="M95" s="141"/>
      <c r="N95" s="141"/>
      <c r="O95" s="152" t="s">
        <v>263</v>
      </c>
      <c r="P95" s="141"/>
      <c r="Q95" s="141"/>
      <c r="R95" s="144"/>
      <c r="S95" s="145" t="s">
        <v>264</v>
      </c>
      <c r="T95" s="145"/>
      <c r="U95" s="141">
        <f t="shared" si="0"/>
        <v>0</v>
      </c>
      <c r="V95" s="141">
        <f t="shared" si="1"/>
        <v>0</v>
      </c>
      <c r="W95" s="142"/>
      <c r="X95" s="141"/>
      <c r="Y95" s="141"/>
      <c r="Z95" s="141"/>
      <c r="AA95" s="146"/>
      <c r="AB95" s="141"/>
      <c r="AC95" s="141"/>
      <c r="AD95" s="141"/>
      <c r="AE95" s="149"/>
      <c r="AF95" s="148"/>
    </row>
    <row r="96" s="10" customFormat="1" ht="14.15" customHeight="1" spans="1:32">
      <c r="A96" s="141"/>
      <c r="B96" s="141"/>
      <c r="C96" s="141"/>
      <c r="D96" s="141"/>
      <c r="E96" s="141"/>
      <c r="F96" s="141"/>
      <c r="G96" s="141"/>
      <c r="H96" s="142"/>
      <c r="I96" s="142"/>
      <c r="J96" s="141"/>
      <c r="K96" s="141"/>
      <c r="L96" s="141"/>
      <c r="M96" s="141"/>
      <c r="N96" s="141"/>
      <c r="O96" s="152" t="s">
        <v>265</v>
      </c>
      <c r="P96" s="141"/>
      <c r="Q96" s="141"/>
      <c r="R96" s="144"/>
      <c r="S96" s="145" t="s">
        <v>266</v>
      </c>
      <c r="T96" s="145"/>
      <c r="U96" s="141">
        <f t="shared" si="0"/>
        <v>0</v>
      </c>
      <c r="V96" s="141">
        <f t="shared" si="1"/>
        <v>0</v>
      </c>
      <c r="W96" s="142"/>
      <c r="X96" s="141"/>
      <c r="Y96" s="141"/>
      <c r="Z96" s="141"/>
      <c r="AA96" s="146"/>
      <c r="AB96" s="141"/>
      <c r="AC96" s="141"/>
      <c r="AD96" s="141"/>
      <c r="AE96" s="149"/>
      <c r="AF96" s="148"/>
    </row>
    <row r="97" s="10" customFormat="1" ht="14.15" customHeight="1" spans="1:32">
      <c r="A97" s="141"/>
      <c r="B97" s="141"/>
      <c r="C97" s="141"/>
      <c r="D97" s="141"/>
      <c r="E97" s="141"/>
      <c r="F97" s="141"/>
      <c r="G97" s="141"/>
      <c r="H97" s="142"/>
      <c r="I97" s="142"/>
      <c r="J97" s="141"/>
      <c r="K97" s="141"/>
      <c r="L97" s="141"/>
      <c r="M97" s="141"/>
      <c r="N97" s="141"/>
      <c r="O97" s="152" t="s">
        <v>267</v>
      </c>
      <c r="P97" s="141"/>
      <c r="Q97" s="141"/>
      <c r="R97" s="144"/>
      <c r="S97" s="145" t="s">
        <v>268</v>
      </c>
      <c r="T97" s="145"/>
      <c r="U97" s="141">
        <f t="shared" si="0"/>
        <v>0</v>
      </c>
      <c r="V97" s="141">
        <f t="shared" si="1"/>
        <v>0</v>
      </c>
      <c r="W97" s="142"/>
      <c r="X97" s="141"/>
      <c r="Y97" s="141"/>
      <c r="Z97" s="141"/>
      <c r="AA97" s="146"/>
      <c r="AB97" s="141"/>
      <c r="AC97" s="141"/>
      <c r="AD97" s="141"/>
      <c r="AE97" s="150"/>
      <c r="AF97" s="148"/>
    </row>
    <row r="98" s="10" customFormat="1" ht="14.15" customHeight="1" spans="1:32">
      <c r="A98" s="141"/>
      <c r="B98" s="141"/>
      <c r="C98" s="141"/>
      <c r="D98" s="141"/>
      <c r="E98" s="141"/>
      <c r="F98" s="141"/>
      <c r="G98" s="141"/>
      <c r="H98" s="142"/>
      <c r="I98" s="142"/>
      <c r="J98" s="141"/>
      <c r="K98" s="141"/>
      <c r="L98" s="141"/>
      <c r="M98" s="141"/>
      <c r="N98" s="141"/>
      <c r="O98" s="152" t="s">
        <v>269</v>
      </c>
      <c r="P98" s="141"/>
      <c r="Q98" s="141"/>
      <c r="R98" s="144"/>
      <c r="S98" s="145" t="s">
        <v>270</v>
      </c>
      <c r="T98" s="145"/>
      <c r="U98" s="141">
        <f t="shared" si="0"/>
        <v>0</v>
      </c>
      <c r="V98" s="141">
        <f t="shared" si="1"/>
        <v>0</v>
      </c>
      <c r="W98" s="142"/>
      <c r="X98" s="141"/>
      <c r="Y98" s="141"/>
      <c r="Z98" s="141"/>
      <c r="AA98" s="146"/>
      <c r="AB98" s="141"/>
      <c r="AC98" s="141"/>
      <c r="AD98" s="141"/>
      <c r="AE98" s="147"/>
      <c r="AF98" s="148"/>
    </row>
    <row r="99" s="10" customFormat="1" ht="14.15" customHeight="1" spans="1:32">
      <c r="A99" s="141"/>
      <c r="B99" s="141"/>
      <c r="C99" s="141"/>
      <c r="D99" s="141"/>
      <c r="E99" s="141"/>
      <c r="F99" s="141"/>
      <c r="G99" s="141"/>
      <c r="H99" s="142"/>
      <c r="I99" s="142"/>
      <c r="J99" s="141"/>
      <c r="K99" s="141"/>
      <c r="L99" s="141"/>
      <c r="M99" s="141"/>
      <c r="N99" s="141"/>
      <c r="O99" s="152" t="s">
        <v>271</v>
      </c>
      <c r="P99" s="141"/>
      <c r="Q99" s="141"/>
      <c r="R99" s="144"/>
      <c r="S99" s="145" t="s">
        <v>272</v>
      </c>
      <c r="T99" s="145"/>
      <c r="U99" s="141">
        <f t="shared" si="0"/>
        <v>0</v>
      </c>
      <c r="V99" s="141">
        <f t="shared" si="1"/>
        <v>0</v>
      </c>
      <c r="W99" s="142"/>
      <c r="X99" s="141"/>
      <c r="Y99" s="141"/>
      <c r="Z99" s="141"/>
      <c r="AA99" s="146"/>
      <c r="AB99" s="141"/>
      <c r="AC99" s="141"/>
      <c r="AD99" s="141"/>
      <c r="AE99" s="149"/>
      <c r="AF99" s="148"/>
    </row>
    <row r="100" s="10" customFormat="1" ht="14.15" customHeight="1" spans="1:32">
      <c r="A100" s="141"/>
      <c r="B100" s="141"/>
      <c r="C100" s="141"/>
      <c r="D100" s="141"/>
      <c r="E100" s="141"/>
      <c r="F100" s="141"/>
      <c r="G100" s="141"/>
      <c r="H100" s="142"/>
      <c r="I100" s="142"/>
      <c r="J100" s="141"/>
      <c r="K100" s="141"/>
      <c r="L100" s="141"/>
      <c r="M100" s="141"/>
      <c r="N100" s="141"/>
      <c r="O100" s="152" t="s">
        <v>273</v>
      </c>
      <c r="P100" s="141"/>
      <c r="Q100" s="141"/>
      <c r="R100" s="144"/>
      <c r="S100" s="145" t="s">
        <v>274</v>
      </c>
      <c r="T100" s="145"/>
      <c r="U100" s="141">
        <f t="shared" si="0"/>
        <v>0</v>
      </c>
      <c r="V100" s="141">
        <f t="shared" si="1"/>
        <v>0</v>
      </c>
      <c r="W100" s="142"/>
      <c r="X100" s="141"/>
      <c r="Y100" s="141"/>
      <c r="Z100" s="141"/>
      <c r="AA100" s="146"/>
      <c r="AB100" s="141"/>
      <c r="AC100" s="141"/>
      <c r="AD100" s="141"/>
      <c r="AE100" s="150"/>
      <c r="AF100" s="148"/>
    </row>
    <row r="101" s="10" customFormat="1" ht="14.15" customHeight="1" spans="1:32">
      <c r="A101" s="141" t="s">
        <v>275</v>
      </c>
      <c r="B101" s="141" t="s">
        <v>276</v>
      </c>
      <c r="C101" s="141" t="s">
        <v>193</v>
      </c>
      <c r="D101" s="141"/>
      <c r="E101" s="141"/>
      <c r="F101" s="141">
        <f>E101/2500</f>
        <v>0</v>
      </c>
      <c r="G101" s="141"/>
      <c r="H101" s="142" t="s">
        <v>194</v>
      </c>
      <c r="I101" s="142" t="s">
        <v>277</v>
      </c>
      <c r="J101" s="141"/>
      <c r="K101" s="141">
        <f>J101/300</f>
        <v>0</v>
      </c>
      <c r="L101" s="141" t="s">
        <v>193</v>
      </c>
      <c r="M101" s="141"/>
      <c r="N101" s="141"/>
      <c r="O101" s="152" t="s">
        <v>278</v>
      </c>
      <c r="P101" s="141"/>
      <c r="Q101" s="141"/>
      <c r="R101" s="144"/>
      <c r="S101" s="145" t="s">
        <v>279</v>
      </c>
      <c r="T101" s="145"/>
      <c r="U101" s="141">
        <f t="shared" si="0"/>
        <v>0</v>
      </c>
      <c r="V101" s="141">
        <f t="shared" si="1"/>
        <v>0</v>
      </c>
      <c r="W101" s="142">
        <v>301</v>
      </c>
      <c r="X101" s="141">
        <f>SUM(U101:U114)</f>
        <v>0</v>
      </c>
      <c r="Y101" s="141">
        <f>X101/2150</f>
        <v>0</v>
      </c>
      <c r="Z101" s="141">
        <v>154</v>
      </c>
      <c r="AA101" s="146">
        <v>152</v>
      </c>
      <c r="AB101" s="141">
        <f>101/Z101</f>
        <v>0.655844155844156</v>
      </c>
      <c r="AC101" s="141">
        <v>12</v>
      </c>
      <c r="AD101" s="141">
        <v>8</v>
      </c>
      <c r="AE101" s="147" t="s">
        <v>198</v>
      </c>
      <c r="AF101" s="148"/>
    </row>
    <row r="102" s="10" customFormat="1" ht="14.15" customHeight="1" spans="1:32">
      <c r="A102" s="141"/>
      <c r="B102" s="141"/>
      <c r="C102" s="141"/>
      <c r="D102" s="141"/>
      <c r="E102" s="141"/>
      <c r="F102" s="141"/>
      <c r="G102" s="141"/>
      <c r="H102" s="142"/>
      <c r="I102" s="142"/>
      <c r="J102" s="141"/>
      <c r="K102" s="141"/>
      <c r="L102" s="141"/>
      <c r="M102" s="141"/>
      <c r="N102" s="141"/>
      <c r="O102" s="143" t="s">
        <v>280</v>
      </c>
      <c r="P102" s="141"/>
      <c r="Q102" s="141"/>
      <c r="R102" s="144"/>
      <c r="S102" s="145" t="s">
        <v>281</v>
      </c>
      <c r="T102" s="145"/>
      <c r="U102" s="141">
        <f t="shared" si="0"/>
        <v>0</v>
      </c>
      <c r="V102" s="141">
        <f t="shared" si="1"/>
        <v>0</v>
      </c>
      <c r="W102" s="142"/>
      <c r="X102" s="141"/>
      <c r="Y102" s="141"/>
      <c r="Z102" s="141"/>
      <c r="AA102" s="146"/>
      <c r="AB102" s="141"/>
      <c r="AC102" s="141"/>
      <c r="AD102" s="141"/>
      <c r="AE102" s="149"/>
      <c r="AF102" s="148"/>
    </row>
    <row r="103" s="10" customFormat="1" ht="14.15" customHeight="1" spans="1:32">
      <c r="A103" s="141"/>
      <c r="B103" s="141"/>
      <c r="C103" s="141"/>
      <c r="D103" s="141"/>
      <c r="E103" s="141"/>
      <c r="F103" s="141"/>
      <c r="G103" s="141"/>
      <c r="H103" s="142"/>
      <c r="I103" s="142"/>
      <c r="J103" s="141"/>
      <c r="K103" s="141"/>
      <c r="L103" s="141"/>
      <c r="M103" s="141"/>
      <c r="N103" s="141"/>
      <c r="O103" s="152" t="s">
        <v>282</v>
      </c>
      <c r="P103" s="141"/>
      <c r="Q103" s="141"/>
      <c r="R103" s="144"/>
      <c r="S103" s="145" t="s">
        <v>283</v>
      </c>
      <c r="T103" s="145"/>
      <c r="U103" s="141">
        <f t="shared" si="0"/>
        <v>0</v>
      </c>
      <c r="V103" s="141">
        <f t="shared" si="1"/>
        <v>0</v>
      </c>
      <c r="W103" s="142"/>
      <c r="X103" s="141"/>
      <c r="Y103" s="141"/>
      <c r="Z103" s="141"/>
      <c r="AA103" s="146"/>
      <c r="AB103" s="141"/>
      <c r="AC103" s="141"/>
      <c r="AD103" s="141"/>
      <c r="AE103" s="149"/>
      <c r="AF103" s="148"/>
    </row>
    <row r="104" s="10" customFormat="1" ht="14.15" customHeight="1" spans="1:32">
      <c r="A104" s="141"/>
      <c r="B104" s="141"/>
      <c r="C104" s="141"/>
      <c r="D104" s="141"/>
      <c r="E104" s="141"/>
      <c r="F104" s="141"/>
      <c r="G104" s="141"/>
      <c r="H104" s="142"/>
      <c r="I104" s="142"/>
      <c r="J104" s="141"/>
      <c r="K104" s="141"/>
      <c r="L104" s="141"/>
      <c r="M104" s="141"/>
      <c r="N104" s="141"/>
      <c r="O104" s="143" t="s">
        <v>284</v>
      </c>
      <c r="P104" s="141"/>
      <c r="Q104" s="141"/>
      <c r="R104" s="144"/>
      <c r="S104" s="145" t="s">
        <v>285</v>
      </c>
      <c r="T104" s="145"/>
      <c r="U104" s="141">
        <f t="shared" si="0"/>
        <v>0</v>
      </c>
      <c r="V104" s="141">
        <f t="shared" si="1"/>
        <v>0</v>
      </c>
      <c r="W104" s="142"/>
      <c r="X104" s="141"/>
      <c r="Y104" s="141"/>
      <c r="Z104" s="141"/>
      <c r="AA104" s="146"/>
      <c r="AB104" s="141"/>
      <c r="AC104" s="141"/>
      <c r="AD104" s="141"/>
      <c r="AE104" s="150"/>
      <c r="AF104" s="148"/>
    </row>
    <row r="105" s="10" customFormat="1" ht="14.15" customHeight="1" spans="1:32">
      <c r="A105" s="141"/>
      <c r="B105" s="141"/>
      <c r="C105" s="141"/>
      <c r="D105" s="141"/>
      <c r="E105" s="141"/>
      <c r="F105" s="141"/>
      <c r="G105" s="141"/>
      <c r="H105" s="142"/>
      <c r="I105" s="142"/>
      <c r="J105" s="141"/>
      <c r="K105" s="141"/>
      <c r="L105" s="141"/>
      <c r="M105" s="141"/>
      <c r="N105" s="141"/>
      <c r="O105" s="152" t="s">
        <v>286</v>
      </c>
      <c r="P105" s="141"/>
      <c r="Q105" s="141"/>
      <c r="R105" s="144"/>
      <c r="S105" s="145" t="s">
        <v>287</v>
      </c>
      <c r="T105" s="145"/>
      <c r="U105" s="141">
        <f t="shared" si="0"/>
        <v>0</v>
      </c>
      <c r="V105" s="141">
        <f t="shared" si="1"/>
        <v>0</v>
      </c>
      <c r="W105" s="142"/>
      <c r="X105" s="141"/>
      <c r="Y105" s="141"/>
      <c r="Z105" s="141"/>
      <c r="AA105" s="146"/>
      <c r="AB105" s="141"/>
      <c r="AC105" s="141"/>
      <c r="AD105" s="141"/>
      <c r="AE105" s="147"/>
      <c r="AF105" s="148"/>
    </row>
    <row r="106" s="10" customFormat="1" ht="14.15" customHeight="1" spans="1:32">
      <c r="A106" s="141"/>
      <c r="B106" s="141"/>
      <c r="C106" s="141"/>
      <c r="D106" s="141"/>
      <c r="E106" s="141"/>
      <c r="F106" s="141"/>
      <c r="G106" s="141"/>
      <c r="H106" s="142"/>
      <c r="I106" s="142"/>
      <c r="J106" s="141"/>
      <c r="K106" s="141"/>
      <c r="L106" s="141"/>
      <c r="M106" s="141"/>
      <c r="N106" s="141"/>
      <c r="O106" s="143" t="s">
        <v>288</v>
      </c>
      <c r="P106" s="141"/>
      <c r="Q106" s="141"/>
      <c r="R106" s="144"/>
      <c r="S106" s="145" t="s">
        <v>289</v>
      </c>
      <c r="T106" s="145"/>
      <c r="U106" s="141">
        <f t="shared" si="0"/>
        <v>0</v>
      </c>
      <c r="V106" s="141">
        <f t="shared" si="1"/>
        <v>0</v>
      </c>
      <c r="W106" s="142"/>
      <c r="X106" s="141"/>
      <c r="Y106" s="141"/>
      <c r="Z106" s="141"/>
      <c r="AA106" s="146"/>
      <c r="AB106" s="141"/>
      <c r="AC106" s="141"/>
      <c r="AD106" s="141"/>
      <c r="AE106" s="149"/>
      <c r="AF106" s="148"/>
    </row>
    <row r="107" s="10" customFormat="1" ht="14.15" customHeight="1" spans="1:32">
      <c r="A107" s="141"/>
      <c r="B107" s="141"/>
      <c r="C107" s="141"/>
      <c r="D107" s="141"/>
      <c r="E107" s="141"/>
      <c r="F107" s="141"/>
      <c r="G107" s="141"/>
      <c r="H107" s="142"/>
      <c r="I107" s="142"/>
      <c r="J107" s="141"/>
      <c r="K107" s="141"/>
      <c r="L107" s="141"/>
      <c r="M107" s="141"/>
      <c r="N107" s="141"/>
      <c r="O107" s="152" t="s">
        <v>290</v>
      </c>
      <c r="P107" s="141"/>
      <c r="Q107" s="141"/>
      <c r="R107" s="144"/>
      <c r="S107" s="145" t="s">
        <v>291</v>
      </c>
      <c r="T107" s="145"/>
      <c r="U107" s="141">
        <f t="shared" si="0"/>
        <v>0</v>
      </c>
      <c r="V107" s="141">
        <f t="shared" si="1"/>
        <v>0</v>
      </c>
      <c r="W107" s="142"/>
      <c r="X107" s="141"/>
      <c r="Y107" s="141"/>
      <c r="Z107" s="141"/>
      <c r="AA107" s="146"/>
      <c r="AB107" s="141"/>
      <c r="AC107" s="141"/>
      <c r="AD107" s="141"/>
      <c r="AE107" s="150"/>
      <c r="AF107" s="148"/>
    </row>
    <row r="108" s="10" customFormat="1" ht="14.15" customHeight="1" spans="1:32">
      <c r="A108" s="141"/>
      <c r="B108" s="141" t="s">
        <v>292</v>
      </c>
      <c r="C108" s="141" t="s">
        <v>193</v>
      </c>
      <c r="D108" s="141"/>
      <c r="E108" s="141"/>
      <c r="F108" s="141">
        <f>E108/2500</f>
        <v>0</v>
      </c>
      <c r="G108" s="141"/>
      <c r="H108" s="142" t="s">
        <v>194</v>
      </c>
      <c r="I108" s="142"/>
      <c r="J108" s="141"/>
      <c r="K108" s="141"/>
      <c r="L108" s="141"/>
      <c r="M108" s="141"/>
      <c r="N108" s="141"/>
      <c r="O108" s="143" t="s">
        <v>293</v>
      </c>
      <c r="P108" s="141"/>
      <c r="Q108" s="141"/>
      <c r="R108" s="144"/>
      <c r="S108" s="145" t="s">
        <v>294</v>
      </c>
      <c r="T108" s="145"/>
      <c r="U108" s="141">
        <f t="shared" si="0"/>
        <v>0</v>
      </c>
      <c r="V108" s="141">
        <f t="shared" si="1"/>
        <v>0</v>
      </c>
      <c r="W108" s="142"/>
      <c r="X108" s="141"/>
      <c r="Y108" s="141"/>
      <c r="Z108" s="141"/>
      <c r="AA108" s="146"/>
      <c r="AB108" s="141"/>
      <c r="AC108" s="141"/>
      <c r="AD108" s="141"/>
      <c r="AE108" s="147" t="s">
        <v>210</v>
      </c>
      <c r="AF108" s="148"/>
    </row>
    <row r="109" s="10" customFormat="1" ht="14.15" customHeight="1" spans="1:32">
      <c r="A109" s="141"/>
      <c r="B109" s="141"/>
      <c r="C109" s="141"/>
      <c r="D109" s="141"/>
      <c r="E109" s="141"/>
      <c r="F109" s="141"/>
      <c r="G109" s="141"/>
      <c r="H109" s="142"/>
      <c r="I109" s="142"/>
      <c r="J109" s="141"/>
      <c r="K109" s="141"/>
      <c r="L109" s="141"/>
      <c r="M109" s="141"/>
      <c r="N109" s="141"/>
      <c r="O109" s="143" t="s">
        <v>295</v>
      </c>
      <c r="P109" s="141"/>
      <c r="Q109" s="141"/>
      <c r="R109" s="144"/>
      <c r="S109" s="145" t="s">
        <v>296</v>
      </c>
      <c r="T109" s="145"/>
      <c r="U109" s="141">
        <f t="shared" si="0"/>
        <v>0</v>
      </c>
      <c r="V109" s="141">
        <f t="shared" si="1"/>
        <v>0</v>
      </c>
      <c r="W109" s="142"/>
      <c r="X109" s="141"/>
      <c r="Y109" s="141"/>
      <c r="Z109" s="141"/>
      <c r="AA109" s="146"/>
      <c r="AB109" s="141"/>
      <c r="AC109" s="141"/>
      <c r="AD109" s="141"/>
      <c r="AE109" s="149"/>
      <c r="AF109" s="148"/>
    </row>
    <row r="110" s="10" customFormat="1" ht="14.15" customHeight="1" spans="1:32">
      <c r="A110" s="141"/>
      <c r="B110" s="141"/>
      <c r="C110" s="141"/>
      <c r="D110" s="141"/>
      <c r="E110" s="141"/>
      <c r="F110" s="141"/>
      <c r="G110" s="141"/>
      <c r="H110" s="142"/>
      <c r="I110" s="142"/>
      <c r="J110" s="141"/>
      <c r="K110" s="141"/>
      <c r="L110" s="141"/>
      <c r="M110" s="141"/>
      <c r="N110" s="141"/>
      <c r="O110" s="143" t="s">
        <v>297</v>
      </c>
      <c r="P110" s="141"/>
      <c r="Q110" s="141"/>
      <c r="R110" s="144"/>
      <c r="S110" s="145" t="s">
        <v>298</v>
      </c>
      <c r="T110" s="145"/>
      <c r="U110" s="141">
        <f t="shared" si="0"/>
        <v>0</v>
      </c>
      <c r="V110" s="141">
        <f t="shared" si="1"/>
        <v>0</v>
      </c>
      <c r="W110" s="142"/>
      <c r="X110" s="141"/>
      <c r="Y110" s="141"/>
      <c r="Z110" s="141"/>
      <c r="AA110" s="146"/>
      <c r="AB110" s="141"/>
      <c r="AC110" s="141"/>
      <c r="AD110" s="141"/>
      <c r="AE110" s="149"/>
      <c r="AF110" s="148"/>
    </row>
    <row r="111" s="10" customFormat="1" ht="14.15" customHeight="1" spans="1:32">
      <c r="A111" s="141"/>
      <c r="B111" s="141"/>
      <c r="C111" s="141"/>
      <c r="D111" s="141"/>
      <c r="E111" s="141"/>
      <c r="F111" s="141"/>
      <c r="G111" s="141"/>
      <c r="H111" s="142"/>
      <c r="I111" s="142"/>
      <c r="J111" s="141"/>
      <c r="K111" s="141"/>
      <c r="L111" s="141"/>
      <c r="M111" s="141"/>
      <c r="N111" s="141"/>
      <c r="O111" s="143" t="s">
        <v>299</v>
      </c>
      <c r="P111" s="141"/>
      <c r="Q111" s="141"/>
      <c r="R111" s="144"/>
      <c r="S111" s="145" t="s">
        <v>300</v>
      </c>
      <c r="T111" s="145"/>
      <c r="U111" s="141">
        <f t="shared" si="0"/>
        <v>0</v>
      </c>
      <c r="V111" s="141">
        <f t="shared" si="1"/>
        <v>0</v>
      </c>
      <c r="W111" s="142"/>
      <c r="X111" s="141"/>
      <c r="Y111" s="141"/>
      <c r="Z111" s="141"/>
      <c r="AA111" s="146"/>
      <c r="AB111" s="141"/>
      <c r="AC111" s="141"/>
      <c r="AD111" s="141"/>
      <c r="AE111" s="150"/>
      <c r="AF111" s="148"/>
    </row>
    <row r="112" s="10" customFormat="1" ht="14.15" customHeight="1" spans="1:32">
      <c r="A112" s="141"/>
      <c r="B112" s="141"/>
      <c r="C112" s="141"/>
      <c r="D112" s="141"/>
      <c r="E112" s="141"/>
      <c r="F112" s="141"/>
      <c r="G112" s="141"/>
      <c r="H112" s="142"/>
      <c r="I112" s="142"/>
      <c r="J112" s="141"/>
      <c r="K112" s="141"/>
      <c r="L112" s="141"/>
      <c r="M112" s="141"/>
      <c r="N112" s="141"/>
      <c r="O112" s="143" t="s">
        <v>301</v>
      </c>
      <c r="P112" s="141"/>
      <c r="Q112" s="141"/>
      <c r="R112" s="144"/>
      <c r="S112" s="145" t="s">
        <v>302</v>
      </c>
      <c r="T112" s="145"/>
      <c r="U112" s="141">
        <f t="shared" si="0"/>
        <v>0</v>
      </c>
      <c r="V112" s="141">
        <f t="shared" si="1"/>
        <v>0</v>
      </c>
      <c r="W112" s="142"/>
      <c r="X112" s="141"/>
      <c r="Y112" s="141"/>
      <c r="Z112" s="141"/>
      <c r="AA112" s="146"/>
      <c r="AB112" s="141"/>
      <c r="AC112" s="141"/>
      <c r="AD112" s="141"/>
      <c r="AE112" s="147"/>
      <c r="AF112" s="148"/>
    </row>
    <row r="113" s="10" customFormat="1" ht="14.15" customHeight="1" spans="1:32">
      <c r="A113" s="141"/>
      <c r="B113" s="141"/>
      <c r="C113" s="141"/>
      <c r="D113" s="141"/>
      <c r="E113" s="141"/>
      <c r="F113" s="141"/>
      <c r="G113" s="141"/>
      <c r="H113" s="142"/>
      <c r="I113" s="142"/>
      <c r="J113" s="141"/>
      <c r="K113" s="141"/>
      <c r="L113" s="141"/>
      <c r="M113" s="141"/>
      <c r="N113" s="141"/>
      <c r="O113" s="143" t="s">
        <v>303</v>
      </c>
      <c r="P113" s="141"/>
      <c r="Q113" s="141"/>
      <c r="R113" s="144"/>
      <c r="S113" s="145" t="s">
        <v>304</v>
      </c>
      <c r="T113" s="145"/>
      <c r="U113" s="141">
        <f t="shared" si="0"/>
        <v>0</v>
      </c>
      <c r="V113" s="141">
        <f t="shared" si="1"/>
        <v>0</v>
      </c>
      <c r="W113" s="142"/>
      <c r="X113" s="141"/>
      <c r="Y113" s="141"/>
      <c r="Z113" s="141"/>
      <c r="AA113" s="146"/>
      <c r="AB113" s="141"/>
      <c r="AC113" s="141"/>
      <c r="AD113" s="141"/>
      <c r="AE113" s="149"/>
      <c r="AF113" s="148"/>
    </row>
    <row r="114" s="10" customFormat="1" ht="14.15" customHeight="1" spans="1:32">
      <c r="A114" s="141"/>
      <c r="B114" s="141"/>
      <c r="C114" s="141"/>
      <c r="D114" s="141"/>
      <c r="E114" s="141"/>
      <c r="F114" s="141"/>
      <c r="G114" s="141"/>
      <c r="H114" s="142"/>
      <c r="I114" s="142"/>
      <c r="J114" s="141"/>
      <c r="K114" s="141"/>
      <c r="L114" s="141"/>
      <c r="M114" s="141"/>
      <c r="N114" s="141"/>
      <c r="O114" s="143" t="s">
        <v>305</v>
      </c>
      <c r="P114" s="141"/>
      <c r="Q114" s="141"/>
      <c r="R114" s="144"/>
      <c r="S114" s="145" t="s">
        <v>306</v>
      </c>
      <c r="T114" s="145"/>
      <c r="U114" s="141">
        <f t="shared" si="0"/>
        <v>0</v>
      </c>
      <c r="V114" s="141">
        <f t="shared" si="1"/>
        <v>0</v>
      </c>
      <c r="W114" s="142"/>
      <c r="X114" s="141"/>
      <c r="Y114" s="141"/>
      <c r="Z114" s="141"/>
      <c r="AA114" s="146"/>
      <c r="AB114" s="141"/>
      <c r="AC114" s="141"/>
      <c r="AD114" s="141"/>
      <c r="AE114" s="150"/>
      <c r="AF114" s="148"/>
    </row>
    <row r="115" s="10" customFormat="1" ht="14.15" customHeight="1" spans="1:32">
      <c r="A115" s="141" t="s">
        <v>307</v>
      </c>
      <c r="B115" s="141" t="s">
        <v>308</v>
      </c>
      <c r="C115" s="141" t="s">
        <v>193</v>
      </c>
      <c r="D115" s="141"/>
      <c r="E115" s="141"/>
      <c r="F115" s="141">
        <f>E115/2500</f>
        <v>0</v>
      </c>
      <c r="G115" s="141"/>
      <c r="H115" s="142" t="s">
        <v>194</v>
      </c>
      <c r="I115" s="142" t="s">
        <v>309</v>
      </c>
      <c r="J115" s="141"/>
      <c r="K115" s="141">
        <f>J115/300</f>
        <v>0</v>
      </c>
      <c r="L115" s="141" t="s">
        <v>193</v>
      </c>
      <c r="M115" s="141"/>
      <c r="N115" s="141"/>
      <c r="O115" s="143" t="s">
        <v>310</v>
      </c>
      <c r="P115" s="141"/>
      <c r="Q115" s="141"/>
      <c r="R115" s="144"/>
      <c r="S115" s="145" t="s">
        <v>311</v>
      </c>
      <c r="T115" s="145"/>
      <c r="U115" s="141">
        <f t="shared" si="0"/>
        <v>0</v>
      </c>
      <c r="V115" s="141">
        <f t="shared" si="1"/>
        <v>0</v>
      </c>
      <c r="W115" s="142">
        <v>402</v>
      </c>
      <c r="X115" s="141">
        <f>SUM(U115:U124)</f>
        <v>0</v>
      </c>
      <c r="Y115" s="141">
        <f>X115/2150</f>
        <v>0</v>
      </c>
      <c r="Z115" s="141">
        <v>170</v>
      </c>
      <c r="AA115" s="146">
        <v>170</v>
      </c>
      <c r="AB115" s="141">
        <f>115/Z115</f>
        <v>0.676470588235294</v>
      </c>
      <c r="AC115" s="141">
        <v>20</v>
      </c>
      <c r="AD115" s="141">
        <v>0</v>
      </c>
      <c r="AE115" s="147" t="s">
        <v>198</v>
      </c>
      <c r="AF115" s="148"/>
    </row>
    <row r="116" s="10" customFormat="1" ht="14.15" customHeight="1" spans="1:32">
      <c r="A116" s="141"/>
      <c r="B116" s="141"/>
      <c r="C116" s="141"/>
      <c r="D116" s="141"/>
      <c r="E116" s="141"/>
      <c r="F116" s="141"/>
      <c r="G116" s="141"/>
      <c r="H116" s="142"/>
      <c r="I116" s="142"/>
      <c r="J116" s="141"/>
      <c r="K116" s="141"/>
      <c r="L116" s="141"/>
      <c r="M116" s="141"/>
      <c r="N116" s="141"/>
      <c r="O116" s="143" t="s">
        <v>312</v>
      </c>
      <c r="P116" s="141"/>
      <c r="Q116" s="141"/>
      <c r="R116" s="144"/>
      <c r="S116" s="145" t="s">
        <v>313</v>
      </c>
      <c r="T116" s="145"/>
      <c r="U116" s="141">
        <f t="shared" si="0"/>
        <v>0</v>
      </c>
      <c r="V116" s="141">
        <f t="shared" si="1"/>
        <v>0</v>
      </c>
      <c r="W116" s="142"/>
      <c r="X116" s="141"/>
      <c r="Y116" s="141"/>
      <c r="Z116" s="141"/>
      <c r="AA116" s="146"/>
      <c r="AB116" s="141"/>
      <c r="AC116" s="141"/>
      <c r="AD116" s="141"/>
      <c r="AE116" s="149"/>
      <c r="AF116" s="148"/>
    </row>
    <row r="117" s="10" customFormat="1" ht="14.15" customHeight="1" spans="1:32">
      <c r="A117" s="141"/>
      <c r="B117" s="141"/>
      <c r="C117" s="141"/>
      <c r="D117" s="141"/>
      <c r="E117" s="141"/>
      <c r="F117" s="141"/>
      <c r="G117" s="141"/>
      <c r="H117" s="142"/>
      <c r="I117" s="142"/>
      <c r="J117" s="141"/>
      <c r="K117" s="141"/>
      <c r="L117" s="141"/>
      <c r="M117" s="141"/>
      <c r="N117" s="141"/>
      <c r="O117" s="143" t="s">
        <v>314</v>
      </c>
      <c r="P117" s="141"/>
      <c r="Q117" s="141"/>
      <c r="R117" s="144"/>
      <c r="S117" s="145" t="s">
        <v>315</v>
      </c>
      <c r="T117" s="145"/>
      <c r="U117" s="141">
        <f t="shared" si="0"/>
        <v>0</v>
      </c>
      <c r="V117" s="141">
        <f t="shared" si="1"/>
        <v>0</v>
      </c>
      <c r="W117" s="142"/>
      <c r="X117" s="141"/>
      <c r="Y117" s="141"/>
      <c r="Z117" s="141"/>
      <c r="AA117" s="146"/>
      <c r="AB117" s="141"/>
      <c r="AC117" s="141"/>
      <c r="AD117" s="141"/>
      <c r="AE117" s="150"/>
      <c r="AF117" s="148"/>
    </row>
    <row r="118" s="10" customFormat="1" ht="14.15" customHeight="1" spans="1:32">
      <c r="A118" s="141"/>
      <c r="B118" s="141"/>
      <c r="C118" s="141"/>
      <c r="D118" s="141"/>
      <c r="E118" s="141"/>
      <c r="F118" s="141"/>
      <c r="G118" s="141"/>
      <c r="H118" s="142"/>
      <c r="I118" s="142"/>
      <c r="J118" s="141"/>
      <c r="K118" s="141"/>
      <c r="L118" s="141"/>
      <c r="M118" s="141"/>
      <c r="N118" s="141"/>
      <c r="O118" s="143" t="s">
        <v>316</v>
      </c>
      <c r="P118" s="141"/>
      <c r="Q118" s="141"/>
      <c r="R118" s="144"/>
      <c r="S118" s="145" t="s">
        <v>317</v>
      </c>
      <c r="T118" s="145"/>
      <c r="U118" s="141">
        <f t="shared" si="0"/>
        <v>0</v>
      </c>
      <c r="V118" s="141">
        <f t="shared" si="1"/>
        <v>0</v>
      </c>
      <c r="W118" s="142"/>
      <c r="X118" s="141"/>
      <c r="Y118" s="141"/>
      <c r="Z118" s="141"/>
      <c r="AA118" s="146"/>
      <c r="AB118" s="141"/>
      <c r="AC118" s="141"/>
      <c r="AD118" s="141"/>
      <c r="AE118" s="147"/>
      <c r="AF118" s="148"/>
    </row>
    <row r="119" s="10" customFormat="1" ht="14.15" customHeight="1" spans="1:32">
      <c r="A119" s="141"/>
      <c r="B119" s="141"/>
      <c r="C119" s="141"/>
      <c r="D119" s="141"/>
      <c r="E119" s="141"/>
      <c r="F119" s="141"/>
      <c r="G119" s="141"/>
      <c r="H119" s="142"/>
      <c r="I119" s="142"/>
      <c r="J119" s="141"/>
      <c r="K119" s="141"/>
      <c r="L119" s="141"/>
      <c r="M119" s="141"/>
      <c r="N119" s="141"/>
      <c r="O119" s="143" t="s">
        <v>318</v>
      </c>
      <c r="P119" s="141"/>
      <c r="Q119" s="141"/>
      <c r="R119" s="144"/>
      <c r="S119" s="145" t="s">
        <v>319</v>
      </c>
      <c r="T119" s="145"/>
      <c r="U119" s="141">
        <f t="shared" si="0"/>
        <v>0</v>
      </c>
      <c r="V119" s="141">
        <f t="shared" si="1"/>
        <v>0</v>
      </c>
      <c r="W119" s="142"/>
      <c r="X119" s="141"/>
      <c r="Y119" s="141"/>
      <c r="Z119" s="141"/>
      <c r="AA119" s="146"/>
      <c r="AB119" s="141"/>
      <c r="AC119" s="141"/>
      <c r="AD119" s="141"/>
      <c r="AE119" s="150"/>
      <c r="AF119" s="148"/>
    </row>
    <row r="120" s="10" customFormat="1" ht="14.15" customHeight="1" spans="1:32">
      <c r="A120" s="141"/>
      <c r="B120" s="141" t="s">
        <v>320</v>
      </c>
      <c r="C120" s="141" t="s">
        <v>193</v>
      </c>
      <c r="D120" s="141"/>
      <c r="E120" s="141"/>
      <c r="F120" s="141">
        <f>E120/2500</f>
        <v>0</v>
      </c>
      <c r="G120" s="141"/>
      <c r="H120" s="142" t="s">
        <v>194</v>
      </c>
      <c r="I120" s="142"/>
      <c r="J120" s="141"/>
      <c r="K120" s="141"/>
      <c r="L120" s="141"/>
      <c r="M120" s="141"/>
      <c r="N120" s="141"/>
      <c r="O120" s="143" t="s">
        <v>321</v>
      </c>
      <c r="P120" s="141"/>
      <c r="Q120" s="141"/>
      <c r="R120" s="144"/>
      <c r="S120" s="145" t="s">
        <v>322</v>
      </c>
      <c r="T120" s="145"/>
      <c r="U120" s="141">
        <f t="shared" si="0"/>
        <v>0</v>
      </c>
      <c r="V120" s="141">
        <f t="shared" si="1"/>
        <v>0</v>
      </c>
      <c r="W120" s="142"/>
      <c r="X120" s="141"/>
      <c r="Y120" s="141"/>
      <c r="Z120" s="141"/>
      <c r="AA120" s="146"/>
      <c r="AB120" s="141"/>
      <c r="AC120" s="141"/>
      <c r="AD120" s="141"/>
      <c r="AE120" s="147" t="s">
        <v>210</v>
      </c>
      <c r="AF120" s="148"/>
    </row>
    <row r="121" s="10" customFormat="1" ht="14.15" customHeight="1" spans="1:32">
      <c r="A121" s="141"/>
      <c r="B121" s="141"/>
      <c r="C121" s="141"/>
      <c r="D121" s="141"/>
      <c r="E121" s="141"/>
      <c r="F121" s="141"/>
      <c r="G121" s="141"/>
      <c r="H121" s="142"/>
      <c r="I121" s="142"/>
      <c r="J121" s="141"/>
      <c r="K121" s="141"/>
      <c r="L121" s="141"/>
      <c r="M121" s="141"/>
      <c r="N121" s="141"/>
      <c r="O121" s="143" t="s">
        <v>323</v>
      </c>
      <c r="P121" s="141"/>
      <c r="Q121" s="141"/>
      <c r="R121" s="144"/>
      <c r="S121" s="145" t="s">
        <v>324</v>
      </c>
      <c r="T121" s="145"/>
      <c r="U121" s="141">
        <f t="shared" si="0"/>
        <v>0</v>
      </c>
      <c r="V121" s="141">
        <f t="shared" si="1"/>
        <v>0</v>
      </c>
      <c r="W121" s="142"/>
      <c r="X121" s="141"/>
      <c r="Y121" s="141"/>
      <c r="Z121" s="141"/>
      <c r="AA121" s="146"/>
      <c r="AB121" s="141"/>
      <c r="AC121" s="141"/>
      <c r="AD121" s="141"/>
      <c r="AE121" s="149"/>
      <c r="AF121" s="148"/>
    </row>
    <row r="122" s="10" customFormat="1" ht="14.15" customHeight="1" spans="1:32">
      <c r="A122" s="141"/>
      <c r="B122" s="141"/>
      <c r="C122" s="141"/>
      <c r="D122" s="141"/>
      <c r="E122" s="141"/>
      <c r="F122" s="141"/>
      <c r="G122" s="141"/>
      <c r="H122" s="142"/>
      <c r="I122" s="142"/>
      <c r="J122" s="141"/>
      <c r="K122" s="141"/>
      <c r="L122" s="141"/>
      <c r="M122" s="141"/>
      <c r="N122" s="141"/>
      <c r="O122" s="143" t="s">
        <v>325</v>
      </c>
      <c r="P122" s="141"/>
      <c r="Q122" s="141"/>
      <c r="R122" s="144"/>
      <c r="S122" s="145" t="s">
        <v>326</v>
      </c>
      <c r="T122" s="145"/>
      <c r="U122" s="141">
        <f t="shared" si="0"/>
        <v>0</v>
      </c>
      <c r="V122" s="141">
        <f t="shared" si="1"/>
        <v>0</v>
      </c>
      <c r="W122" s="142"/>
      <c r="X122" s="141"/>
      <c r="Y122" s="141"/>
      <c r="Z122" s="141"/>
      <c r="AA122" s="146"/>
      <c r="AB122" s="141"/>
      <c r="AC122" s="141"/>
      <c r="AD122" s="141"/>
      <c r="AE122" s="150"/>
      <c r="AF122" s="148"/>
    </row>
    <row r="123" s="10" customFormat="1" ht="14.15" customHeight="1" spans="1:32">
      <c r="A123" s="141"/>
      <c r="B123" s="141"/>
      <c r="C123" s="141"/>
      <c r="D123" s="141"/>
      <c r="E123" s="141"/>
      <c r="F123" s="141"/>
      <c r="G123" s="141"/>
      <c r="H123" s="142"/>
      <c r="I123" s="142"/>
      <c r="J123" s="141"/>
      <c r="K123" s="141"/>
      <c r="L123" s="141"/>
      <c r="M123" s="141"/>
      <c r="N123" s="141"/>
      <c r="O123" s="143" t="s">
        <v>327</v>
      </c>
      <c r="P123" s="141"/>
      <c r="Q123" s="141"/>
      <c r="R123" s="144"/>
      <c r="S123" s="145" t="s">
        <v>328</v>
      </c>
      <c r="T123" s="145"/>
      <c r="U123" s="141">
        <f t="shared" si="0"/>
        <v>0</v>
      </c>
      <c r="V123" s="141">
        <f t="shared" si="1"/>
        <v>0</v>
      </c>
      <c r="W123" s="142"/>
      <c r="X123" s="141"/>
      <c r="Y123" s="141"/>
      <c r="Z123" s="141"/>
      <c r="AA123" s="146"/>
      <c r="AB123" s="141"/>
      <c r="AC123" s="141"/>
      <c r="AD123" s="141"/>
      <c r="AE123" s="147"/>
      <c r="AF123" s="148"/>
    </row>
    <row r="124" s="10" customFormat="1" ht="14.15" customHeight="1" spans="1:32">
      <c r="A124" s="141"/>
      <c r="B124" s="141"/>
      <c r="C124" s="141"/>
      <c r="D124" s="141"/>
      <c r="E124" s="141"/>
      <c r="F124" s="141"/>
      <c r="G124" s="141"/>
      <c r="H124" s="142"/>
      <c r="I124" s="142"/>
      <c r="J124" s="141"/>
      <c r="K124" s="141"/>
      <c r="L124" s="141"/>
      <c r="M124" s="141"/>
      <c r="N124" s="141"/>
      <c r="O124" s="143" t="s">
        <v>329</v>
      </c>
      <c r="P124" s="141"/>
      <c r="Q124" s="141"/>
      <c r="R124" s="144"/>
      <c r="S124" s="145" t="s">
        <v>330</v>
      </c>
      <c r="T124" s="145"/>
      <c r="U124" s="141">
        <f t="shared" si="0"/>
        <v>0</v>
      </c>
      <c r="V124" s="141">
        <f t="shared" si="1"/>
        <v>0</v>
      </c>
      <c r="W124" s="142"/>
      <c r="X124" s="141"/>
      <c r="Y124" s="141"/>
      <c r="Z124" s="141"/>
      <c r="AA124" s="146"/>
      <c r="AB124" s="141"/>
      <c r="AC124" s="141"/>
      <c r="AD124" s="141"/>
      <c r="AE124" s="150"/>
      <c r="AF124" s="148"/>
    </row>
    <row r="125" s="10" customFormat="1" ht="14.15" customHeight="1" spans="1:32">
      <c r="A125" s="141" t="s">
        <v>331</v>
      </c>
      <c r="B125" s="141" t="s">
        <v>332</v>
      </c>
      <c r="C125" s="141" t="s">
        <v>193</v>
      </c>
      <c r="D125" s="141"/>
      <c r="E125" s="141"/>
      <c r="F125" s="141">
        <f>E125/2500</f>
        <v>0</v>
      </c>
      <c r="G125" s="141"/>
      <c r="H125" s="142" t="s">
        <v>194</v>
      </c>
      <c r="I125" s="142" t="s">
        <v>333</v>
      </c>
      <c r="J125" s="141"/>
      <c r="K125" s="141">
        <f>J125/300</f>
        <v>0</v>
      </c>
      <c r="L125" s="141" t="s">
        <v>193</v>
      </c>
      <c r="M125" s="141"/>
      <c r="N125" s="141"/>
      <c r="O125" s="143" t="s">
        <v>334</v>
      </c>
      <c r="P125" s="141"/>
      <c r="Q125" s="141"/>
      <c r="R125" s="144"/>
      <c r="S125" s="145" t="s">
        <v>335</v>
      </c>
      <c r="T125" s="145"/>
      <c r="U125" s="141">
        <f t="shared" si="0"/>
        <v>0</v>
      </c>
      <c r="V125" s="141">
        <f t="shared" si="1"/>
        <v>0</v>
      </c>
      <c r="W125" s="142">
        <v>401</v>
      </c>
      <c r="X125" s="141">
        <f>SUM(U125:U134)</f>
        <v>0</v>
      </c>
      <c r="Y125" s="141">
        <f>X125/2150</f>
        <v>0</v>
      </c>
      <c r="Z125" s="141">
        <v>170</v>
      </c>
      <c r="AA125" s="146">
        <v>170</v>
      </c>
      <c r="AB125" s="141">
        <f>125/Z125</f>
        <v>0.735294117647059</v>
      </c>
      <c r="AC125" s="141">
        <v>20</v>
      </c>
      <c r="AD125" s="141">
        <v>0</v>
      </c>
      <c r="AE125" s="147" t="s">
        <v>198</v>
      </c>
      <c r="AF125" s="148"/>
    </row>
    <row r="126" s="10" customFormat="1" ht="14.15" customHeight="1" spans="1:32">
      <c r="A126" s="141"/>
      <c r="B126" s="141"/>
      <c r="C126" s="141"/>
      <c r="D126" s="141"/>
      <c r="E126" s="141"/>
      <c r="F126" s="141"/>
      <c r="G126" s="141"/>
      <c r="H126" s="142"/>
      <c r="I126" s="142"/>
      <c r="J126" s="141"/>
      <c r="K126" s="141"/>
      <c r="L126" s="141"/>
      <c r="M126" s="141"/>
      <c r="N126" s="141"/>
      <c r="O126" s="143" t="s">
        <v>336</v>
      </c>
      <c r="P126" s="141"/>
      <c r="Q126" s="141"/>
      <c r="R126" s="144"/>
      <c r="S126" s="145" t="s">
        <v>337</v>
      </c>
      <c r="T126" s="145"/>
      <c r="U126" s="141">
        <f t="shared" si="0"/>
        <v>0</v>
      </c>
      <c r="V126" s="141">
        <f t="shared" si="1"/>
        <v>0</v>
      </c>
      <c r="W126" s="142"/>
      <c r="X126" s="141"/>
      <c r="Y126" s="141"/>
      <c r="Z126" s="141"/>
      <c r="AA126" s="146"/>
      <c r="AB126" s="141"/>
      <c r="AC126" s="141"/>
      <c r="AD126" s="141"/>
      <c r="AE126" s="149"/>
      <c r="AF126" s="148"/>
    </row>
    <row r="127" s="10" customFormat="1" ht="14.15" customHeight="1" spans="1:32">
      <c r="A127" s="141"/>
      <c r="B127" s="141"/>
      <c r="C127" s="141"/>
      <c r="D127" s="141"/>
      <c r="E127" s="141"/>
      <c r="F127" s="141"/>
      <c r="G127" s="141"/>
      <c r="H127" s="142"/>
      <c r="I127" s="142"/>
      <c r="J127" s="141"/>
      <c r="K127" s="141"/>
      <c r="L127" s="141"/>
      <c r="M127" s="141"/>
      <c r="N127" s="141"/>
      <c r="O127" s="143" t="s">
        <v>338</v>
      </c>
      <c r="P127" s="141"/>
      <c r="Q127" s="141"/>
      <c r="R127" s="144"/>
      <c r="S127" s="145" t="s">
        <v>339</v>
      </c>
      <c r="T127" s="145"/>
      <c r="U127" s="141">
        <f t="shared" si="0"/>
        <v>0</v>
      </c>
      <c r="V127" s="141">
        <f t="shared" si="1"/>
        <v>0</v>
      </c>
      <c r="W127" s="142"/>
      <c r="X127" s="141"/>
      <c r="Y127" s="141"/>
      <c r="Z127" s="141"/>
      <c r="AA127" s="146"/>
      <c r="AB127" s="141"/>
      <c r="AC127" s="141"/>
      <c r="AD127" s="141"/>
      <c r="AE127" s="150"/>
      <c r="AF127" s="148"/>
    </row>
    <row r="128" s="10" customFormat="1" ht="14.15" customHeight="1" spans="1:32">
      <c r="A128" s="141"/>
      <c r="B128" s="141"/>
      <c r="C128" s="141"/>
      <c r="D128" s="141"/>
      <c r="E128" s="141"/>
      <c r="F128" s="141"/>
      <c r="G128" s="141"/>
      <c r="H128" s="142"/>
      <c r="I128" s="142"/>
      <c r="J128" s="141"/>
      <c r="K128" s="141"/>
      <c r="L128" s="141"/>
      <c r="M128" s="141"/>
      <c r="N128" s="141"/>
      <c r="O128" s="143" t="s">
        <v>340</v>
      </c>
      <c r="P128" s="141"/>
      <c r="Q128" s="141"/>
      <c r="R128" s="144"/>
      <c r="S128" s="145" t="s">
        <v>341</v>
      </c>
      <c r="T128" s="145"/>
      <c r="U128" s="141">
        <f t="shared" si="0"/>
        <v>0</v>
      </c>
      <c r="V128" s="141">
        <f t="shared" si="1"/>
        <v>0</v>
      </c>
      <c r="W128" s="142"/>
      <c r="X128" s="141"/>
      <c r="Y128" s="141"/>
      <c r="Z128" s="141"/>
      <c r="AA128" s="146"/>
      <c r="AB128" s="141"/>
      <c r="AC128" s="141"/>
      <c r="AD128" s="141"/>
      <c r="AE128" s="147"/>
      <c r="AF128" s="148"/>
    </row>
    <row r="129" s="10" customFormat="1" ht="14.15" customHeight="1" spans="1:32">
      <c r="A129" s="141"/>
      <c r="B129" s="141"/>
      <c r="C129" s="141"/>
      <c r="D129" s="141"/>
      <c r="E129" s="141"/>
      <c r="F129" s="141"/>
      <c r="G129" s="141"/>
      <c r="H129" s="142"/>
      <c r="I129" s="142"/>
      <c r="J129" s="141"/>
      <c r="K129" s="141"/>
      <c r="L129" s="141"/>
      <c r="M129" s="141"/>
      <c r="N129" s="141"/>
      <c r="O129" s="143" t="s">
        <v>342</v>
      </c>
      <c r="P129" s="141"/>
      <c r="Q129" s="141"/>
      <c r="R129" s="144"/>
      <c r="S129" s="145" t="s">
        <v>343</v>
      </c>
      <c r="T129" s="145"/>
      <c r="U129" s="141">
        <f t="shared" si="0"/>
        <v>0</v>
      </c>
      <c r="V129" s="141">
        <f t="shared" si="1"/>
        <v>0</v>
      </c>
      <c r="W129" s="142"/>
      <c r="X129" s="141"/>
      <c r="Y129" s="141"/>
      <c r="Z129" s="141"/>
      <c r="AA129" s="146"/>
      <c r="AB129" s="141"/>
      <c r="AC129" s="141"/>
      <c r="AD129" s="141"/>
      <c r="AE129" s="150"/>
      <c r="AF129" s="148"/>
    </row>
    <row r="130" s="10" customFormat="1" ht="14.15" customHeight="1" spans="1:32">
      <c r="A130" s="141"/>
      <c r="B130" s="141" t="s">
        <v>344</v>
      </c>
      <c r="C130" s="141" t="s">
        <v>193</v>
      </c>
      <c r="D130" s="141"/>
      <c r="E130" s="141"/>
      <c r="F130" s="141">
        <f>E130/2500</f>
        <v>0</v>
      </c>
      <c r="G130" s="141"/>
      <c r="H130" s="142" t="s">
        <v>194</v>
      </c>
      <c r="I130" s="142"/>
      <c r="J130" s="141"/>
      <c r="K130" s="141"/>
      <c r="L130" s="141"/>
      <c r="M130" s="141"/>
      <c r="N130" s="141"/>
      <c r="O130" s="143" t="s">
        <v>345</v>
      </c>
      <c r="P130" s="141"/>
      <c r="Q130" s="141"/>
      <c r="R130" s="144"/>
      <c r="S130" s="145" t="s">
        <v>346</v>
      </c>
      <c r="T130" s="145"/>
      <c r="U130" s="141">
        <f t="shared" si="0"/>
        <v>0</v>
      </c>
      <c r="V130" s="141">
        <f t="shared" si="1"/>
        <v>0</v>
      </c>
      <c r="W130" s="142"/>
      <c r="X130" s="141"/>
      <c r="Y130" s="141"/>
      <c r="Z130" s="141"/>
      <c r="AA130" s="146"/>
      <c r="AB130" s="141"/>
      <c r="AC130" s="141"/>
      <c r="AD130" s="141"/>
      <c r="AE130" s="147" t="s">
        <v>210</v>
      </c>
      <c r="AF130" s="148"/>
    </row>
    <row r="131" s="10" customFormat="1" ht="14.15" customHeight="1" spans="1:32">
      <c r="A131" s="141"/>
      <c r="B131" s="141"/>
      <c r="C131" s="141"/>
      <c r="D131" s="141"/>
      <c r="E131" s="141"/>
      <c r="F131" s="141"/>
      <c r="G131" s="141"/>
      <c r="H131" s="142"/>
      <c r="I131" s="142"/>
      <c r="J131" s="141"/>
      <c r="K131" s="141"/>
      <c r="L131" s="141"/>
      <c r="M131" s="141"/>
      <c r="N131" s="141"/>
      <c r="O131" s="143" t="s">
        <v>347</v>
      </c>
      <c r="P131" s="141"/>
      <c r="Q131" s="141"/>
      <c r="R131" s="144"/>
      <c r="S131" s="145" t="s">
        <v>348</v>
      </c>
      <c r="T131" s="145"/>
      <c r="U131" s="141">
        <f t="shared" ref="U131:U134" si="2">R131*0.935</f>
        <v>0</v>
      </c>
      <c r="V131" s="141">
        <f t="shared" ref="V131:V134" si="3">U131/215</f>
        <v>0</v>
      </c>
      <c r="W131" s="142"/>
      <c r="X131" s="141"/>
      <c r="Y131" s="141"/>
      <c r="Z131" s="141"/>
      <c r="AA131" s="146"/>
      <c r="AB131" s="141"/>
      <c r="AC131" s="141"/>
      <c r="AD131" s="141"/>
      <c r="AE131" s="149"/>
      <c r="AF131" s="148"/>
    </row>
    <row r="132" s="10" customFormat="1" ht="14.15" customHeight="1" spans="1:32">
      <c r="A132" s="141"/>
      <c r="B132" s="141"/>
      <c r="C132" s="141"/>
      <c r="D132" s="141"/>
      <c r="E132" s="141"/>
      <c r="F132" s="141"/>
      <c r="G132" s="141"/>
      <c r="H132" s="142"/>
      <c r="I132" s="142"/>
      <c r="J132" s="141"/>
      <c r="K132" s="141"/>
      <c r="L132" s="141"/>
      <c r="M132" s="141"/>
      <c r="N132" s="141"/>
      <c r="O132" s="143" t="s">
        <v>349</v>
      </c>
      <c r="P132" s="141"/>
      <c r="Q132" s="141"/>
      <c r="R132" s="144"/>
      <c r="S132" s="145" t="s">
        <v>350</v>
      </c>
      <c r="T132" s="145"/>
      <c r="U132" s="141">
        <f t="shared" si="2"/>
        <v>0</v>
      </c>
      <c r="V132" s="141">
        <f t="shared" si="3"/>
        <v>0</v>
      </c>
      <c r="W132" s="142"/>
      <c r="X132" s="141"/>
      <c r="Y132" s="141"/>
      <c r="Z132" s="141"/>
      <c r="AA132" s="146"/>
      <c r="AB132" s="141"/>
      <c r="AC132" s="141"/>
      <c r="AD132" s="141"/>
      <c r="AE132" s="150"/>
      <c r="AF132" s="148"/>
    </row>
    <row r="133" s="10" customFormat="1" ht="14.15" customHeight="1" spans="1:32">
      <c r="A133" s="141"/>
      <c r="B133" s="141"/>
      <c r="C133" s="141"/>
      <c r="D133" s="141"/>
      <c r="E133" s="141"/>
      <c r="F133" s="141"/>
      <c r="G133" s="141"/>
      <c r="H133" s="142"/>
      <c r="I133" s="142"/>
      <c r="J133" s="141"/>
      <c r="K133" s="141"/>
      <c r="L133" s="141"/>
      <c r="M133" s="141"/>
      <c r="N133" s="141"/>
      <c r="O133" s="143" t="s">
        <v>351</v>
      </c>
      <c r="P133" s="141"/>
      <c r="Q133" s="141"/>
      <c r="R133" s="144"/>
      <c r="S133" s="145" t="s">
        <v>352</v>
      </c>
      <c r="T133" s="145"/>
      <c r="U133" s="141">
        <f t="shared" si="2"/>
        <v>0</v>
      </c>
      <c r="V133" s="141">
        <f t="shared" si="3"/>
        <v>0</v>
      </c>
      <c r="W133" s="142"/>
      <c r="X133" s="141"/>
      <c r="Y133" s="141"/>
      <c r="Z133" s="141"/>
      <c r="AA133" s="146"/>
      <c r="AB133" s="141"/>
      <c r="AC133" s="141"/>
      <c r="AD133" s="141"/>
      <c r="AE133" s="147"/>
      <c r="AF133" s="148"/>
    </row>
    <row r="134" s="10" customFormat="1" ht="14.15" customHeight="1" spans="1:32">
      <c r="A134" s="141"/>
      <c r="B134" s="141"/>
      <c r="C134" s="141"/>
      <c r="D134" s="141"/>
      <c r="E134" s="141"/>
      <c r="F134" s="141"/>
      <c r="G134" s="141"/>
      <c r="H134" s="142"/>
      <c r="I134" s="142"/>
      <c r="J134" s="141"/>
      <c r="K134" s="141"/>
      <c r="L134" s="141"/>
      <c r="M134" s="141"/>
      <c r="N134" s="141"/>
      <c r="O134" s="143" t="s">
        <v>353</v>
      </c>
      <c r="P134" s="141"/>
      <c r="Q134" s="141"/>
      <c r="R134" s="144"/>
      <c r="S134" s="145" t="s">
        <v>354</v>
      </c>
      <c r="T134" s="145"/>
      <c r="U134" s="141">
        <f t="shared" si="2"/>
        <v>0</v>
      </c>
      <c r="V134" s="141">
        <f t="shared" si="3"/>
        <v>0</v>
      </c>
      <c r="W134" s="142"/>
      <c r="X134" s="141"/>
      <c r="Y134" s="141"/>
      <c r="Z134" s="141"/>
      <c r="AA134" s="146"/>
      <c r="AB134" s="141"/>
      <c r="AC134" s="141"/>
      <c r="AD134" s="141"/>
      <c r="AE134" s="150"/>
      <c r="AF134" s="148"/>
    </row>
    <row r="135" s="10" customFormat="1" ht="16.5" customHeight="1" spans="1:32">
      <c r="A135" s="141" t="s">
        <v>355</v>
      </c>
      <c r="B135" s="141" t="s">
        <v>356</v>
      </c>
      <c r="C135" s="141" t="s">
        <v>193</v>
      </c>
      <c r="D135" s="141"/>
      <c r="E135" s="141"/>
      <c r="F135" s="141">
        <f>E135/2500</f>
        <v>0</v>
      </c>
      <c r="G135" s="141"/>
      <c r="H135" s="142" t="s">
        <v>194</v>
      </c>
      <c r="I135" s="142" t="s">
        <v>357</v>
      </c>
      <c r="J135" s="153"/>
      <c r="K135" s="141">
        <f>J135/300</f>
        <v>0</v>
      </c>
      <c r="L135" s="141" t="s">
        <v>193</v>
      </c>
      <c r="M135" s="141"/>
      <c r="N135" s="141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  <c r="AD135" s="148"/>
      <c r="AE135" s="148"/>
      <c r="AF135" s="148"/>
    </row>
    <row r="136" s="10" customFormat="1" ht="16.5" customHeight="1" spans="1:32">
      <c r="A136" s="141"/>
      <c r="B136" s="141"/>
      <c r="C136" s="141"/>
      <c r="D136" s="141"/>
      <c r="E136" s="141"/>
      <c r="F136" s="141"/>
      <c r="G136" s="141"/>
      <c r="H136" s="142"/>
      <c r="I136" s="142"/>
      <c r="J136" s="153"/>
      <c r="K136" s="141"/>
      <c r="L136" s="141"/>
      <c r="M136" s="141"/>
      <c r="N136" s="141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148"/>
      <c r="AE136" s="148"/>
      <c r="AF136" s="148"/>
    </row>
    <row r="137" s="10" customFormat="1" ht="16.5" customHeight="1" spans="1:32">
      <c r="A137" s="141"/>
      <c r="B137" s="141"/>
      <c r="C137" s="141"/>
      <c r="D137" s="141"/>
      <c r="E137" s="141"/>
      <c r="F137" s="141"/>
      <c r="G137" s="141"/>
      <c r="H137" s="142"/>
      <c r="I137" s="142"/>
      <c r="J137" s="153"/>
      <c r="K137" s="141"/>
      <c r="L137" s="141"/>
      <c r="M137" s="141"/>
      <c r="N137" s="141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</row>
    <row r="138" s="10" customFormat="1" ht="16.5" customHeight="1" spans="1:32">
      <c r="A138" s="141"/>
      <c r="B138" s="141"/>
      <c r="C138" s="141"/>
      <c r="D138" s="141"/>
      <c r="E138" s="141"/>
      <c r="F138" s="141"/>
      <c r="G138" s="141"/>
      <c r="H138" s="142"/>
      <c r="I138" s="142"/>
      <c r="J138" s="153"/>
      <c r="K138" s="141"/>
      <c r="L138" s="141"/>
      <c r="M138" s="141"/>
      <c r="N138" s="141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  <c r="AD138" s="148"/>
      <c r="AE138" s="148"/>
      <c r="AF138" s="148"/>
    </row>
    <row r="139" s="10" customFormat="1" ht="16.5" customHeight="1" spans="1:32">
      <c r="A139" s="141"/>
      <c r="B139" s="141"/>
      <c r="C139" s="141"/>
      <c r="D139" s="141"/>
      <c r="E139" s="141"/>
      <c r="F139" s="141"/>
      <c r="G139" s="141"/>
      <c r="H139" s="142"/>
      <c r="I139" s="142"/>
      <c r="J139" s="153"/>
      <c r="K139" s="141"/>
      <c r="L139" s="141"/>
      <c r="M139" s="141"/>
      <c r="N139" s="141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</row>
    <row r="140" s="10" customFormat="1" ht="16.5" customHeight="1" spans="1:32">
      <c r="A140" s="141"/>
      <c r="B140" s="141" t="s">
        <v>358</v>
      </c>
      <c r="C140" s="141" t="s">
        <v>193</v>
      </c>
      <c r="D140" s="141"/>
      <c r="E140" s="141"/>
      <c r="F140" s="141">
        <f>E140/2500</f>
        <v>0</v>
      </c>
      <c r="G140" s="141"/>
      <c r="H140" s="142" t="s">
        <v>194</v>
      </c>
      <c r="I140" s="142" t="s">
        <v>359</v>
      </c>
      <c r="J140" s="141"/>
      <c r="K140" s="141">
        <f>J140/400</f>
        <v>0</v>
      </c>
      <c r="L140" s="141"/>
      <c r="M140" s="141"/>
      <c r="N140" s="141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</row>
    <row r="141" s="10" customFormat="1" ht="16.5" customHeight="1" spans="1:32">
      <c r="A141" s="141"/>
      <c r="B141" s="141"/>
      <c r="C141" s="141"/>
      <c r="D141" s="141"/>
      <c r="E141" s="141"/>
      <c r="F141" s="141"/>
      <c r="G141" s="141"/>
      <c r="H141" s="142"/>
      <c r="I141" s="142"/>
      <c r="J141" s="141"/>
      <c r="K141" s="141"/>
      <c r="L141" s="141"/>
      <c r="M141" s="141"/>
      <c r="N141" s="141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</row>
    <row r="142" s="10" customFormat="1" ht="16.5" customHeight="1" spans="1:32">
      <c r="A142" s="141"/>
      <c r="B142" s="141"/>
      <c r="C142" s="141"/>
      <c r="D142" s="141"/>
      <c r="E142" s="141"/>
      <c r="F142" s="141"/>
      <c r="G142" s="141"/>
      <c r="H142" s="142"/>
      <c r="I142" s="142"/>
      <c r="J142" s="141"/>
      <c r="K142" s="141"/>
      <c r="L142" s="141"/>
      <c r="M142" s="141"/>
      <c r="N142" s="141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48"/>
      <c r="AE142" s="148"/>
      <c r="AF142" s="148"/>
    </row>
    <row r="143" s="10" customFormat="1" ht="16.5" customHeight="1" spans="1:32">
      <c r="A143" s="141"/>
      <c r="B143" s="141"/>
      <c r="C143" s="141"/>
      <c r="D143" s="141"/>
      <c r="E143" s="141"/>
      <c r="F143" s="141"/>
      <c r="G143" s="141"/>
      <c r="H143" s="142"/>
      <c r="I143" s="142"/>
      <c r="J143" s="141"/>
      <c r="K143" s="141"/>
      <c r="L143" s="141"/>
      <c r="M143" s="141"/>
      <c r="N143" s="141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</row>
    <row r="144" s="10" customFormat="1" ht="16.5" customHeight="1" spans="1:32">
      <c r="A144" s="141"/>
      <c r="B144" s="141"/>
      <c r="C144" s="141"/>
      <c r="D144" s="141"/>
      <c r="E144" s="141"/>
      <c r="F144" s="141"/>
      <c r="G144" s="141"/>
      <c r="H144" s="142"/>
      <c r="I144" s="142"/>
      <c r="J144" s="141"/>
      <c r="K144" s="141"/>
      <c r="L144" s="141"/>
      <c r="M144" s="141"/>
      <c r="N144" s="141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</row>
    <row r="145" s="10" customFormat="1" ht="16.5" customHeight="1" spans="1:32">
      <c r="A145" s="141" t="s">
        <v>360</v>
      </c>
      <c r="B145" s="141" t="s">
        <v>361</v>
      </c>
      <c r="C145" s="141" t="s">
        <v>193</v>
      </c>
      <c r="D145" s="141"/>
      <c r="E145" s="141"/>
      <c r="F145" s="141">
        <f>E145/2500</f>
        <v>0</v>
      </c>
      <c r="G145" s="141"/>
      <c r="H145" s="142" t="s">
        <v>194</v>
      </c>
      <c r="I145" s="142" t="s">
        <v>362</v>
      </c>
      <c r="J145" s="141"/>
      <c r="K145" s="141">
        <f>J145/300</f>
        <v>0</v>
      </c>
      <c r="L145" s="141" t="s">
        <v>193</v>
      </c>
      <c r="M145" s="141"/>
      <c r="N145" s="141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</row>
    <row r="146" s="10" customFormat="1" ht="16.5" customHeight="1" spans="1:32">
      <c r="A146" s="141"/>
      <c r="B146" s="141"/>
      <c r="C146" s="141"/>
      <c r="D146" s="141"/>
      <c r="E146" s="141"/>
      <c r="F146" s="141"/>
      <c r="G146" s="141"/>
      <c r="H146" s="142"/>
      <c r="I146" s="142"/>
      <c r="J146" s="141"/>
      <c r="K146" s="141"/>
      <c r="L146" s="141"/>
      <c r="M146" s="141"/>
      <c r="N146" s="141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</row>
    <row r="147" s="10" customFormat="1" ht="16.5" customHeight="1" spans="1:32">
      <c r="A147" s="141"/>
      <c r="B147" s="141"/>
      <c r="C147" s="141"/>
      <c r="D147" s="141"/>
      <c r="E147" s="141"/>
      <c r="F147" s="141"/>
      <c r="G147" s="141"/>
      <c r="H147" s="142"/>
      <c r="I147" s="142"/>
      <c r="J147" s="141"/>
      <c r="K147" s="141"/>
      <c r="L147" s="141"/>
      <c r="M147" s="141"/>
      <c r="N147" s="141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</row>
    <row r="148" s="10" customFormat="1" ht="16.5" customHeight="1" spans="1:32">
      <c r="A148" s="141"/>
      <c r="B148" s="141"/>
      <c r="C148" s="141"/>
      <c r="D148" s="141"/>
      <c r="E148" s="141"/>
      <c r="F148" s="141"/>
      <c r="G148" s="141"/>
      <c r="H148" s="142"/>
      <c r="I148" s="142"/>
      <c r="J148" s="141"/>
      <c r="K148" s="141"/>
      <c r="L148" s="141"/>
      <c r="M148" s="141"/>
      <c r="N148" s="141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</row>
    <row r="149" s="10" customFormat="1" ht="16.5" customHeight="1" spans="1:32">
      <c r="A149" s="141"/>
      <c r="B149" s="141"/>
      <c r="C149" s="141"/>
      <c r="D149" s="141"/>
      <c r="E149" s="141"/>
      <c r="F149" s="141"/>
      <c r="G149" s="141"/>
      <c r="H149" s="142"/>
      <c r="I149" s="142"/>
      <c r="J149" s="141"/>
      <c r="K149" s="141"/>
      <c r="L149" s="141"/>
      <c r="M149" s="141"/>
      <c r="N149" s="141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</row>
    <row r="150" s="10" customFormat="1" ht="16.5" customHeight="1" spans="1:32">
      <c r="A150" s="141"/>
      <c r="B150" s="141" t="s">
        <v>363</v>
      </c>
      <c r="C150" s="141" t="s">
        <v>193</v>
      </c>
      <c r="D150" s="141"/>
      <c r="E150" s="141"/>
      <c r="F150" s="141">
        <f>E150/2500</f>
        <v>0</v>
      </c>
      <c r="G150" s="141"/>
      <c r="H150" s="142" t="s">
        <v>194</v>
      </c>
      <c r="I150" s="142" t="s">
        <v>364</v>
      </c>
      <c r="J150" s="141"/>
      <c r="K150" s="141">
        <f>J150/400</f>
        <v>0</v>
      </c>
      <c r="L150" s="141"/>
      <c r="M150" s="141"/>
      <c r="N150" s="141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148"/>
      <c r="AE150" s="148"/>
      <c r="AF150" s="148"/>
    </row>
    <row r="151" s="10" customFormat="1" ht="16.5" customHeight="1" spans="1:32">
      <c r="A151" s="141"/>
      <c r="B151" s="141"/>
      <c r="C151" s="141"/>
      <c r="D151" s="141"/>
      <c r="E151" s="141"/>
      <c r="F151" s="141"/>
      <c r="G151" s="141"/>
      <c r="H151" s="142"/>
      <c r="I151" s="142"/>
      <c r="J151" s="141"/>
      <c r="K151" s="141"/>
      <c r="L151" s="141"/>
      <c r="M151" s="141"/>
      <c r="N151" s="141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</row>
    <row r="152" s="10" customFormat="1" ht="16.5" customHeight="1" spans="1:32">
      <c r="A152" s="141"/>
      <c r="B152" s="141"/>
      <c r="C152" s="141"/>
      <c r="D152" s="141"/>
      <c r="E152" s="141"/>
      <c r="F152" s="141"/>
      <c r="G152" s="141"/>
      <c r="H152" s="142"/>
      <c r="I152" s="142"/>
      <c r="J152" s="141"/>
      <c r="K152" s="141"/>
      <c r="L152" s="141"/>
      <c r="M152" s="141"/>
      <c r="N152" s="141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</row>
    <row r="153" s="10" customFormat="1" ht="16.5" customHeight="1" spans="1:32">
      <c r="A153" s="141"/>
      <c r="B153" s="141"/>
      <c r="C153" s="141"/>
      <c r="D153" s="141"/>
      <c r="E153" s="141"/>
      <c r="F153" s="141"/>
      <c r="G153" s="141"/>
      <c r="H153" s="142"/>
      <c r="I153" s="142"/>
      <c r="J153" s="141"/>
      <c r="K153" s="141"/>
      <c r="L153" s="141"/>
      <c r="M153" s="141"/>
      <c r="N153" s="141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</row>
    <row r="154" s="10" customFormat="1" ht="16.5" customHeight="1" spans="1:32">
      <c r="A154" s="141"/>
      <c r="B154" s="141"/>
      <c r="C154" s="141"/>
      <c r="D154" s="141"/>
      <c r="E154" s="141"/>
      <c r="F154" s="141"/>
      <c r="G154" s="141"/>
      <c r="H154" s="142"/>
      <c r="I154" s="142"/>
      <c r="J154" s="141"/>
      <c r="K154" s="141"/>
      <c r="L154" s="141"/>
      <c r="M154" s="141"/>
      <c r="N154" s="141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</row>
  </sheetData>
  <protectedRanges>
    <protectedRange sqref="D67:D154" name="数据1_1_1_3_1_1_1_1"/>
    <protectedRange sqref="AA67:AA134" name="数据2_1_1_2_1_1_1_1_1_1_1_1_3_2_2_3_4_2_1_4_1"/>
    <protectedRange sqref="AC101:AD134" name="数据2_1_1_1_1_1_1_1_1_2_1_2_1_1_3_1_4_2_1_3_1_1"/>
    <protectedRange sqref="M67:N154" name="数据1_2_1_1_1_1_1"/>
    <protectedRange sqref="H67:H154" name="数据1_1_1_4_1_1_1_1_1_1"/>
    <protectedRange sqref="J135:J154" name="数据1_2_1_2_1_1"/>
    <protectedRange sqref="R75:R134" name="数据1_1_1_5_1_1_1_2"/>
    <protectedRange sqref="AC67:AD100" name="数据2_1_1_1_1_1_1_1_1_1_5_1_1_1_1_1_1_1_4_2_1_3_1"/>
    <protectedRange sqref="E67:E154" name="数据1_1_1_4_1_1_1"/>
    <protectedRange sqref="Q67:Q134" name="数据1_1_1_1_1_1_1_2_1"/>
    <protectedRange sqref="H67:H154" name="数据1_1_1_4_1_1_1_1_1_1_1"/>
    <protectedRange sqref="AA67:AA134" name="数据2_1_1_2_1_1_1_1_1_1_1_1_3_2_2_3_4_2_1_4"/>
    <protectedRange sqref="J135:J154" name="数据1_2_1_2_1_1_1"/>
    <protectedRange sqref="R67:R74" name="数据1_1_1_6_1_1_2"/>
    <protectedRange sqref="R75:R134" name="数据1_1_1_5_1_1_1_2_1"/>
    <protectedRange sqref="AC101:AD134" name="数据2_1_1_1_1_1_1_1_1_2_1_2_1_1_3_1_4_2_1_3_1"/>
    <protectedRange sqref="AC67:AD100" name="数据2_1_1_1_1_1_1_1_1_1_5_1_1_1_1_1_1_1_4_2_1_3_1_1"/>
    <protectedRange sqref="D67:D154" name="数据1_1_1_3_1_1_1_1_1"/>
    <protectedRange sqref="E67:E154" name="数据1_1_1_4_1_1_1_1"/>
    <protectedRange sqref="M67:N154" name="数据1_2_1_1_1_1"/>
    <protectedRange sqref="Q67:Q134" name="数据1_1_1_1_1_1_1_2_1_1"/>
    <protectedRange sqref="U67:U134" name="数据1_1_1_6_1_1_3"/>
  </protectedRanges>
  <mergeCells count="652">
    <mergeCell ref="A1:AE1"/>
    <mergeCell ref="A2:C2"/>
    <mergeCell ref="D2:H2"/>
    <mergeCell ref="L2:N2"/>
    <mergeCell ref="O2:Q2"/>
    <mergeCell ref="R2:T2"/>
    <mergeCell ref="U2:W2"/>
    <mergeCell ref="Y2:AA2"/>
    <mergeCell ref="AB2:AC2"/>
    <mergeCell ref="A3:AE3"/>
    <mergeCell ref="C4:D4"/>
    <mergeCell ref="E4:F4"/>
    <mergeCell ref="G4:H4"/>
    <mergeCell ref="I4:W4"/>
    <mergeCell ref="X4:Z4"/>
    <mergeCell ref="AD4:AE4"/>
    <mergeCell ref="C5:D5"/>
    <mergeCell ref="E5:F5"/>
    <mergeCell ref="G5:H5"/>
    <mergeCell ref="I5:W5"/>
    <mergeCell ref="X5:Z5"/>
    <mergeCell ref="AD5:AE5"/>
    <mergeCell ref="A6:B6"/>
    <mergeCell ref="C6:F6"/>
    <mergeCell ref="G6:I6"/>
    <mergeCell ref="J6:L6"/>
    <mergeCell ref="M6:O6"/>
    <mergeCell ref="P6:R6"/>
    <mergeCell ref="S6:T6"/>
    <mergeCell ref="U6:X6"/>
    <mergeCell ref="C7:E7"/>
    <mergeCell ref="G7:O7"/>
    <mergeCell ref="P7:R7"/>
    <mergeCell ref="S7:AE7"/>
    <mergeCell ref="A8:F8"/>
    <mergeCell ref="G8:I8"/>
    <mergeCell ref="J8:K8"/>
    <mergeCell ref="M8:N8"/>
    <mergeCell ref="P8:R8"/>
    <mergeCell ref="S8:AE8"/>
    <mergeCell ref="A9:F9"/>
    <mergeCell ref="G9:I9"/>
    <mergeCell ref="J9:K9"/>
    <mergeCell ref="M9:N9"/>
    <mergeCell ref="P9:R9"/>
    <mergeCell ref="S9:AE9"/>
    <mergeCell ref="A10:B10"/>
    <mergeCell ref="C10:AE10"/>
    <mergeCell ref="C11:F11"/>
    <mergeCell ref="G11:I11"/>
    <mergeCell ref="J11:L11"/>
    <mergeCell ref="M11:N11"/>
    <mergeCell ref="P11:T11"/>
    <mergeCell ref="U11:W11"/>
    <mergeCell ref="X11:Y11"/>
    <mergeCell ref="C12:F12"/>
    <mergeCell ref="G12:H12"/>
    <mergeCell ref="J12:L12"/>
    <mergeCell ref="M12:N12"/>
    <mergeCell ref="S12:T12"/>
    <mergeCell ref="U12:W12"/>
    <mergeCell ref="X12:Y12"/>
    <mergeCell ref="C13:F13"/>
    <mergeCell ref="G13:H13"/>
    <mergeCell ref="J13:L13"/>
    <mergeCell ref="M13:N13"/>
    <mergeCell ref="S13:T13"/>
    <mergeCell ref="U13:W13"/>
    <mergeCell ref="X13:Y13"/>
    <mergeCell ref="C14:F14"/>
    <mergeCell ref="G14:H14"/>
    <mergeCell ref="J14:L14"/>
    <mergeCell ref="M14:N14"/>
    <mergeCell ref="S14:T14"/>
    <mergeCell ref="U14:W14"/>
    <mergeCell ref="X14:Y14"/>
    <mergeCell ref="C15:F15"/>
    <mergeCell ref="G15:H15"/>
    <mergeCell ref="J15:L15"/>
    <mergeCell ref="M15:N15"/>
    <mergeCell ref="P15:R15"/>
    <mergeCell ref="S15:T15"/>
    <mergeCell ref="U15:Y15"/>
    <mergeCell ref="C16:F16"/>
    <mergeCell ref="H16:K16"/>
    <mergeCell ref="L16:N16"/>
    <mergeCell ref="P16:R16"/>
    <mergeCell ref="S16:T16"/>
    <mergeCell ref="U16:Y16"/>
    <mergeCell ref="C17:F17"/>
    <mergeCell ref="H17:K17"/>
    <mergeCell ref="L17:N17"/>
    <mergeCell ref="P17:R17"/>
    <mergeCell ref="S17:T17"/>
    <mergeCell ref="U17:Y17"/>
    <mergeCell ref="C18:F18"/>
    <mergeCell ref="H18:K18"/>
    <mergeCell ref="L18:N18"/>
    <mergeCell ref="P18:R18"/>
    <mergeCell ref="S18:T18"/>
    <mergeCell ref="V18:W18"/>
    <mergeCell ref="A19:B19"/>
    <mergeCell ref="C19:AE19"/>
    <mergeCell ref="C20:AA20"/>
    <mergeCell ref="C21:N21"/>
    <mergeCell ref="P21:AA21"/>
    <mergeCell ref="D22:E22"/>
    <mergeCell ref="G22:H22"/>
    <mergeCell ref="J22:K22"/>
    <mergeCell ref="M22:N22"/>
    <mergeCell ref="Q22:R22"/>
    <mergeCell ref="T22:U22"/>
    <mergeCell ref="W22:X22"/>
    <mergeCell ref="Z22:AA22"/>
    <mergeCell ref="AD22:AE22"/>
    <mergeCell ref="D23:N23"/>
    <mergeCell ref="Q23:AA23"/>
    <mergeCell ref="AD23:AE23"/>
    <mergeCell ref="E24:G24"/>
    <mergeCell ref="H24:I24"/>
    <mergeCell ref="K24:N24"/>
    <mergeCell ref="R24:T24"/>
    <mergeCell ref="U24:V24"/>
    <mergeCell ref="X24:AA24"/>
    <mergeCell ref="AC24:AE24"/>
    <mergeCell ref="E25:G25"/>
    <mergeCell ref="H25:I25"/>
    <mergeCell ref="R25:T25"/>
    <mergeCell ref="U25:V25"/>
    <mergeCell ref="AC25:AE25"/>
    <mergeCell ref="F28:G28"/>
    <mergeCell ref="S28:T28"/>
    <mergeCell ref="AC28:AE28"/>
    <mergeCell ref="F29:G29"/>
    <mergeCell ref="S29:T29"/>
    <mergeCell ref="AC29:AE29"/>
    <mergeCell ref="F30:G30"/>
    <mergeCell ref="I30:J30"/>
    <mergeCell ref="S30:T30"/>
    <mergeCell ref="V30:W30"/>
    <mergeCell ref="F31:G31"/>
    <mergeCell ref="I31:J31"/>
    <mergeCell ref="S31:T31"/>
    <mergeCell ref="V31:W31"/>
    <mergeCell ref="C32:N32"/>
    <mergeCell ref="P32:AA32"/>
    <mergeCell ref="D33:N33"/>
    <mergeCell ref="Q33:AA33"/>
    <mergeCell ref="AB33:AC33"/>
    <mergeCell ref="AD33:AE33"/>
    <mergeCell ref="E34:G34"/>
    <mergeCell ref="H34:I34"/>
    <mergeCell ref="K34:N34"/>
    <mergeCell ref="R34:T34"/>
    <mergeCell ref="U34:V34"/>
    <mergeCell ref="X34:AA34"/>
    <mergeCell ref="AB34:AC34"/>
    <mergeCell ref="AD34:AE34"/>
    <mergeCell ref="E35:G35"/>
    <mergeCell ref="H35:I35"/>
    <mergeCell ref="R35:T35"/>
    <mergeCell ref="U35:V35"/>
    <mergeCell ref="AB35:AC35"/>
    <mergeCell ref="AD35:AE35"/>
    <mergeCell ref="F38:G38"/>
    <mergeCell ref="S38:T38"/>
    <mergeCell ref="AB38:AC38"/>
    <mergeCell ref="AD38:AE38"/>
    <mergeCell ref="F39:G39"/>
    <mergeCell ref="S39:T39"/>
    <mergeCell ref="AB39:AC39"/>
    <mergeCell ref="AD39:AE39"/>
    <mergeCell ref="F40:G40"/>
    <mergeCell ref="I40:J40"/>
    <mergeCell ref="S40:T40"/>
    <mergeCell ref="V40:W40"/>
    <mergeCell ref="AB40:AC40"/>
    <mergeCell ref="AD40:AE40"/>
    <mergeCell ref="I41:J41"/>
    <mergeCell ref="V41:W41"/>
    <mergeCell ref="D42:N42"/>
    <mergeCell ref="Q42:AA42"/>
    <mergeCell ref="C43:AA43"/>
    <mergeCell ref="C44:N44"/>
    <mergeCell ref="P44:AA44"/>
    <mergeCell ref="C45:D45"/>
    <mergeCell ref="G45:H45"/>
    <mergeCell ref="J45:K45"/>
    <mergeCell ref="M45:N45"/>
    <mergeCell ref="P45:Q45"/>
    <mergeCell ref="T45:U45"/>
    <mergeCell ref="W45:X45"/>
    <mergeCell ref="Z45:AA45"/>
    <mergeCell ref="C46:D46"/>
    <mergeCell ref="G46:H46"/>
    <mergeCell ref="J46:K46"/>
    <mergeCell ref="M46:N46"/>
    <mergeCell ref="P46:Q46"/>
    <mergeCell ref="T46:U46"/>
    <mergeCell ref="W46:X46"/>
    <mergeCell ref="Z46:AA46"/>
    <mergeCell ref="C47:N47"/>
    <mergeCell ref="P47:AA47"/>
    <mergeCell ref="E48:F48"/>
    <mergeCell ref="G48:H48"/>
    <mergeCell ref="I48:J48"/>
    <mergeCell ref="K48:L48"/>
    <mergeCell ref="R48:S48"/>
    <mergeCell ref="T48:U48"/>
    <mergeCell ref="V48:W48"/>
    <mergeCell ref="X48:Y48"/>
    <mergeCell ref="D49:N49"/>
    <mergeCell ref="Q49:AA49"/>
    <mergeCell ref="A50:B50"/>
    <mergeCell ref="C50:AE50"/>
    <mergeCell ref="A51:B51"/>
    <mergeCell ref="C51:AE51"/>
    <mergeCell ref="A52:B52"/>
    <mergeCell ref="C52:AE52"/>
    <mergeCell ref="A53:B53"/>
    <mergeCell ref="C53:AE53"/>
    <mergeCell ref="A54:AE54"/>
    <mergeCell ref="A55:L55"/>
    <mergeCell ref="O55:Z55"/>
    <mergeCell ref="AD55:AE55"/>
    <mergeCell ref="A56:B56"/>
    <mergeCell ref="C56:D56"/>
    <mergeCell ref="E56:F56"/>
    <mergeCell ref="G56:H56"/>
    <mergeCell ref="I56:J56"/>
    <mergeCell ref="K56:L56"/>
    <mergeCell ref="O56:Q56"/>
    <mergeCell ref="R56:U56"/>
    <mergeCell ref="V56:X56"/>
    <mergeCell ref="Y56:Z56"/>
    <mergeCell ref="A57:B57"/>
    <mergeCell ref="C57:D57"/>
    <mergeCell ref="E57:F57"/>
    <mergeCell ref="G57:H57"/>
    <mergeCell ref="I57:J57"/>
    <mergeCell ref="K57:L57"/>
    <mergeCell ref="A58:B58"/>
    <mergeCell ref="C58:D58"/>
    <mergeCell ref="E58:F58"/>
    <mergeCell ref="G58:H58"/>
    <mergeCell ref="I58:J58"/>
    <mergeCell ref="K58:L58"/>
    <mergeCell ref="AB58:AE58"/>
    <mergeCell ref="C59:D59"/>
    <mergeCell ref="E59:F59"/>
    <mergeCell ref="G59:H59"/>
    <mergeCell ref="I59:J59"/>
    <mergeCell ref="K59:L59"/>
    <mergeCell ref="O59:R59"/>
    <mergeCell ref="S59:U59"/>
    <mergeCell ref="V59:Z59"/>
    <mergeCell ref="AD59:AE59"/>
    <mergeCell ref="A60:B60"/>
    <mergeCell ref="C60:D60"/>
    <mergeCell ref="E60:F60"/>
    <mergeCell ref="G60:H60"/>
    <mergeCell ref="I60:J60"/>
    <mergeCell ref="K60:L60"/>
    <mergeCell ref="A61:B61"/>
    <mergeCell ref="C61:D61"/>
    <mergeCell ref="E61:F61"/>
    <mergeCell ref="G61:H61"/>
    <mergeCell ref="I61:J61"/>
    <mergeCell ref="K61:L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5:AE65"/>
    <mergeCell ref="F66:G66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A4:A5"/>
    <mergeCell ref="A67:A76"/>
    <mergeCell ref="A77:A86"/>
    <mergeCell ref="A87:A100"/>
    <mergeCell ref="A101:A114"/>
    <mergeCell ref="A115:A124"/>
    <mergeCell ref="A125:A134"/>
    <mergeCell ref="A135:A144"/>
    <mergeCell ref="A145:A154"/>
    <mergeCell ref="B67:B71"/>
    <mergeCell ref="B72:B76"/>
    <mergeCell ref="B77:B81"/>
    <mergeCell ref="B82:B86"/>
    <mergeCell ref="B87:B93"/>
    <mergeCell ref="B94:B100"/>
    <mergeCell ref="B101:B107"/>
    <mergeCell ref="B108:B114"/>
    <mergeCell ref="B115:B119"/>
    <mergeCell ref="B120:B124"/>
    <mergeCell ref="B125:B129"/>
    <mergeCell ref="B130:B134"/>
    <mergeCell ref="B135:B139"/>
    <mergeCell ref="B140:B144"/>
    <mergeCell ref="B145:B149"/>
    <mergeCell ref="B150:B154"/>
    <mergeCell ref="C26:C27"/>
    <mergeCell ref="C36:C37"/>
    <mergeCell ref="C67:C71"/>
    <mergeCell ref="C72:C76"/>
    <mergeCell ref="C77:C81"/>
    <mergeCell ref="C82:C86"/>
    <mergeCell ref="C87:C93"/>
    <mergeCell ref="C94:C100"/>
    <mergeCell ref="C101:C107"/>
    <mergeCell ref="C108:C114"/>
    <mergeCell ref="C115:C119"/>
    <mergeCell ref="C120:C124"/>
    <mergeCell ref="C125:C129"/>
    <mergeCell ref="C130:C134"/>
    <mergeCell ref="C135:C139"/>
    <mergeCell ref="C140:C144"/>
    <mergeCell ref="C145:C149"/>
    <mergeCell ref="C150:C154"/>
    <mergeCell ref="D26:D27"/>
    <mergeCell ref="D36:D37"/>
    <mergeCell ref="D67:D71"/>
    <mergeCell ref="D72:D76"/>
    <mergeCell ref="D77:D81"/>
    <mergeCell ref="D82:D86"/>
    <mergeCell ref="D87:D93"/>
    <mergeCell ref="D94:D100"/>
    <mergeCell ref="D101:D107"/>
    <mergeCell ref="D108:D114"/>
    <mergeCell ref="D115:D119"/>
    <mergeCell ref="D120:D124"/>
    <mergeCell ref="D125:D129"/>
    <mergeCell ref="D130:D134"/>
    <mergeCell ref="D135:D139"/>
    <mergeCell ref="D140:D144"/>
    <mergeCell ref="D145:D149"/>
    <mergeCell ref="D150:D154"/>
    <mergeCell ref="E26:E27"/>
    <mergeCell ref="E36:E37"/>
    <mergeCell ref="E67:E71"/>
    <mergeCell ref="E72:E76"/>
    <mergeCell ref="E77:E81"/>
    <mergeCell ref="E82:E86"/>
    <mergeCell ref="E87:E93"/>
    <mergeCell ref="E94:E100"/>
    <mergeCell ref="E101:E107"/>
    <mergeCell ref="E108:E114"/>
    <mergeCell ref="E115:E119"/>
    <mergeCell ref="E120:E124"/>
    <mergeCell ref="E125:E129"/>
    <mergeCell ref="E130:E134"/>
    <mergeCell ref="E135:E139"/>
    <mergeCell ref="E140:E144"/>
    <mergeCell ref="E145:E149"/>
    <mergeCell ref="E150:E154"/>
    <mergeCell ref="H26:H27"/>
    <mergeCell ref="H36:H37"/>
    <mergeCell ref="H67:H71"/>
    <mergeCell ref="H72:H76"/>
    <mergeCell ref="H77:H81"/>
    <mergeCell ref="H82:H86"/>
    <mergeCell ref="H87:H93"/>
    <mergeCell ref="H94:H100"/>
    <mergeCell ref="H101:H107"/>
    <mergeCell ref="H108:H114"/>
    <mergeCell ref="H115:H119"/>
    <mergeCell ref="H120:H124"/>
    <mergeCell ref="H125:H129"/>
    <mergeCell ref="H130:H134"/>
    <mergeCell ref="H135:H139"/>
    <mergeCell ref="H140:H144"/>
    <mergeCell ref="H145:H149"/>
    <mergeCell ref="H150:H154"/>
    <mergeCell ref="I26:I27"/>
    <mergeCell ref="I36:I37"/>
    <mergeCell ref="I67:I76"/>
    <mergeCell ref="I77:I86"/>
    <mergeCell ref="I87:I100"/>
    <mergeCell ref="I101:I114"/>
    <mergeCell ref="I115:I124"/>
    <mergeCell ref="I125:I134"/>
    <mergeCell ref="I135:I139"/>
    <mergeCell ref="I140:I144"/>
    <mergeCell ref="I145:I149"/>
    <mergeCell ref="I150:I154"/>
    <mergeCell ref="J26:J27"/>
    <mergeCell ref="J36:J37"/>
    <mergeCell ref="J67:J76"/>
    <mergeCell ref="J77:J86"/>
    <mergeCell ref="J87:J100"/>
    <mergeCell ref="J101:J114"/>
    <mergeCell ref="J115:J124"/>
    <mergeCell ref="J125:J134"/>
    <mergeCell ref="J135:J139"/>
    <mergeCell ref="J140:J144"/>
    <mergeCell ref="J145:J149"/>
    <mergeCell ref="J150:J154"/>
    <mergeCell ref="K26:K27"/>
    <mergeCell ref="K36:K37"/>
    <mergeCell ref="K67:K76"/>
    <mergeCell ref="K77:K86"/>
    <mergeCell ref="K87:K100"/>
    <mergeCell ref="K101:K114"/>
    <mergeCell ref="K115:K124"/>
    <mergeCell ref="K125:K134"/>
    <mergeCell ref="K135:K139"/>
    <mergeCell ref="K140:K144"/>
    <mergeCell ref="K145:K149"/>
    <mergeCell ref="K150:K154"/>
    <mergeCell ref="L26:L27"/>
    <mergeCell ref="L36:L37"/>
    <mergeCell ref="L67:L76"/>
    <mergeCell ref="L77:L86"/>
    <mergeCell ref="L87:L100"/>
    <mergeCell ref="L101:L114"/>
    <mergeCell ref="L115:L124"/>
    <mergeCell ref="L125:L134"/>
    <mergeCell ref="L135:L144"/>
    <mergeCell ref="L145:L154"/>
    <mergeCell ref="M26:M27"/>
    <mergeCell ref="M36:M37"/>
    <mergeCell ref="M67:M76"/>
    <mergeCell ref="M77:M86"/>
    <mergeCell ref="M87:M100"/>
    <mergeCell ref="M101:M114"/>
    <mergeCell ref="M115:M124"/>
    <mergeCell ref="M125:M134"/>
    <mergeCell ref="M135:M139"/>
    <mergeCell ref="M140:M144"/>
    <mergeCell ref="M145:M149"/>
    <mergeCell ref="M150:M154"/>
    <mergeCell ref="N26:N27"/>
    <mergeCell ref="N36:N37"/>
    <mergeCell ref="N67:N76"/>
    <mergeCell ref="N77:N86"/>
    <mergeCell ref="N87:N100"/>
    <mergeCell ref="N101:N114"/>
    <mergeCell ref="N115:N124"/>
    <mergeCell ref="N125:N134"/>
    <mergeCell ref="N135:N139"/>
    <mergeCell ref="N140:N144"/>
    <mergeCell ref="N145:N149"/>
    <mergeCell ref="N150:N154"/>
    <mergeCell ref="O11:O15"/>
    <mergeCell ref="O21:O42"/>
    <mergeCell ref="O44:O49"/>
    <mergeCell ref="P26:P27"/>
    <mergeCell ref="P36:P37"/>
    <mergeCell ref="Q26:Q27"/>
    <mergeCell ref="Q36:Q37"/>
    <mergeCell ref="R26:R27"/>
    <mergeCell ref="R36:R37"/>
    <mergeCell ref="U26:U27"/>
    <mergeCell ref="U36:U37"/>
    <mergeCell ref="V26:V27"/>
    <mergeCell ref="V36:V37"/>
    <mergeCell ref="W26:W27"/>
    <mergeCell ref="W36:W37"/>
    <mergeCell ref="W67:W76"/>
    <mergeCell ref="W77:W86"/>
    <mergeCell ref="W87:W100"/>
    <mergeCell ref="W101:W114"/>
    <mergeCell ref="W115:W124"/>
    <mergeCell ref="W125:W134"/>
    <mergeCell ref="X26:X27"/>
    <mergeCell ref="X36:X37"/>
    <mergeCell ref="X67:X76"/>
    <mergeCell ref="X77:X86"/>
    <mergeCell ref="X87:X100"/>
    <mergeCell ref="X101:X114"/>
    <mergeCell ref="X115:X124"/>
    <mergeCell ref="X125:X134"/>
    <mergeCell ref="Y26:Y27"/>
    <mergeCell ref="Y36:Y37"/>
    <mergeCell ref="Y67:Y76"/>
    <mergeCell ref="Y77:Y86"/>
    <mergeCell ref="Y87:Y100"/>
    <mergeCell ref="Y101:Y114"/>
    <mergeCell ref="Y115:Y124"/>
    <mergeCell ref="Y125:Y134"/>
    <mergeCell ref="Z26:Z27"/>
    <mergeCell ref="Z36:Z37"/>
    <mergeCell ref="Z67:Z76"/>
    <mergeCell ref="Z77:Z86"/>
    <mergeCell ref="Z87:Z100"/>
    <mergeCell ref="Z101:Z114"/>
    <mergeCell ref="Z115:Z124"/>
    <mergeCell ref="Z125:Z134"/>
    <mergeCell ref="AA26:AA27"/>
    <mergeCell ref="AA36:AA37"/>
    <mergeCell ref="AA67:AA76"/>
    <mergeCell ref="AA77:AA86"/>
    <mergeCell ref="AA87:AA100"/>
    <mergeCell ref="AA101:AA114"/>
    <mergeCell ref="AA115:AA124"/>
    <mergeCell ref="AA125:AA134"/>
    <mergeCell ref="AB22:AB23"/>
    <mergeCell ref="AB26:AB27"/>
    <mergeCell ref="AB56:AB57"/>
    <mergeCell ref="AB60:AB61"/>
    <mergeCell ref="AB67:AB76"/>
    <mergeCell ref="AB77:AB86"/>
    <mergeCell ref="AB87:AB100"/>
    <mergeCell ref="AB101:AB114"/>
    <mergeCell ref="AB115:AB124"/>
    <mergeCell ref="AB125:AB134"/>
    <mergeCell ref="AC56:AC57"/>
    <mergeCell ref="AC60:AC61"/>
    <mergeCell ref="AC67:AC76"/>
    <mergeCell ref="AC77:AC86"/>
    <mergeCell ref="AC87:AC100"/>
    <mergeCell ref="AC101:AC114"/>
    <mergeCell ref="AC115:AC124"/>
    <mergeCell ref="AC125:AC134"/>
    <mergeCell ref="AD67:AD76"/>
    <mergeCell ref="AD77:AD86"/>
    <mergeCell ref="AD87:AD100"/>
    <mergeCell ref="AD101:AD114"/>
    <mergeCell ref="AD115:AD124"/>
    <mergeCell ref="AD125:AD134"/>
    <mergeCell ref="AE67:AE69"/>
    <mergeCell ref="AE70:AE71"/>
    <mergeCell ref="AE72:AE74"/>
    <mergeCell ref="AE75:AE76"/>
    <mergeCell ref="AE77:AE79"/>
    <mergeCell ref="AE80:AE81"/>
    <mergeCell ref="AE82:AE84"/>
    <mergeCell ref="AE85:AE86"/>
    <mergeCell ref="AE87:AE90"/>
    <mergeCell ref="AE91:AE93"/>
    <mergeCell ref="AE94:AE97"/>
    <mergeCell ref="AE98:AE100"/>
    <mergeCell ref="AE101:AE104"/>
    <mergeCell ref="AE105:AE107"/>
    <mergeCell ref="AE108:AE111"/>
    <mergeCell ref="AE112:AE114"/>
    <mergeCell ref="AE115:AE117"/>
    <mergeCell ref="AE118:AE119"/>
    <mergeCell ref="AE120:AE122"/>
    <mergeCell ref="AE123:AE124"/>
    <mergeCell ref="AE125:AE127"/>
    <mergeCell ref="AE128:AE129"/>
    <mergeCell ref="AE130:AE132"/>
    <mergeCell ref="AE133:AE134"/>
    <mergeCell ref="V60:Z61"/>
    <mergeCell ref="Y57:Z58"/>
    <mergeCell ref="AC26:AE27"/>
    <mergeCell ref="AD56:AE57"/>
    <mergeCell ref="V57:X58"/>
    <mergeCell ref="S60:U61"/>
    <mergeCell ref="A11:B18"/>
    <mergeCell ref="AB36:AC37"/>
    <mergeCell ref="AD36:AE37"/>
    <mergeCell ref="O60:R61"/>
    <mergeCell ref="O57:Q58"/>
    <mergeCell ref="AB30:AE32"/>
    <mergeCell ref="A20:B49"/>
    <mergeCell ref="AD60:AE61"/>
    <mergeCell ref="P12:R14"/>
    <mergeCell ref="R57:U58"/>
    <mergeCell ref="F67:G71"/>
    <mergeCell ref="F72:G76"/>
    <mergeCell ref="F77:G81"/>
    <mergeCell ref="F82:G86"/>
    <mergeCell ref="F87:G93"/>
    <mergeCell ref="F94:G100"/>
    <mergeCell ref="F101:G107"/>
    <mergeCell ref="F108:G114"/>
    <mergeCell ref="F115:G119"/>
    <mergeCell ref="F120:G124"/>
    <mergeCell ref="F125:G129"/>
    <mergeCell ref="F130:G134"/>
    <mergeCell ref="F135:G139"/>
    <mergeCell ref="F140:G144"/>
    <mergeCell ref="F145:G149"/>
    <mergeCell ref="F150:G154"/>
  </mergeCells>
  <conditionalFormatting sqref="AD56">
    <cfRule type="dataBar" priority="3771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{27a2076e-51ec-4ada-a9a8-7649d0dbfc47}</x14:id>
        </ext>
      </extLst>
    </cfRule>
    <cfRule type="dataBar" priority="3770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{2cd55699-38d2-4427-8f9d-ebbba0418e8c}</x14:id>
        </ext>
      </extLst>
    </cfRule>
    <cfRule type="dataBar" priority="3769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{8208dc65-4d26-444a-87e7-f91fa2a760fe}</x14:id>
        </ext>
      </extLst>
    </cfRule>
    <cfRule type="dataBar" priority="3768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{24c7773b-7f01-43a8-806e-0cd7aee61c7c}</x14:id>
        </ext>
      </extLst>
    </cfRule>
    <cfRule type="dataBar" priority="3767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{e9267cdf-8e2e-4dd7-9c8f-93e2ef9f45a2}</x14:id>
        </ext>
      </extLst>
    </cfRule>
    <cfRule type="dataBar" priority="3766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{cb93ccb6-410b-43a7-b720-5a67bef0051a}</x14:id>
        </ext>
      </extLst>
    </cfRule>
    <cfRule type="dataBar" priority="3765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{bc5c2782-0af9-4b6f-9d7d-528b4ec34f40}</x14:id>
        </ext>
      </extLst>
    </cfRule>
    <cfRule type="dataBar" priority="376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{20e6b1a4-36fb-4fda-a231-ff5e8f5ed1d0}</x14:id>
        </ext>
      </extLst>
    </cfRule>
  </conditionalFormatting>
  <conditionalFormatting sqref="K60">
    <cfRule type="dataBar" priority="3738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{3a5e319c-9346-4629-858c-067cec1080f9}</x14:id>
        </ext>
      </extLst>
    </cfRule>
    <cfRule type="dataBar" priority="3737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{8b96164f-63b1-40fa-ba31-e5243f6cc2ab}</x14:id>
        </ext>
      </extLst>
    </cfRule>
    <cfRule type="dataBar" priority="373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{235e71dd-2115-4c5a-be6b-4fc3034c36ec}</x14:id>
        </ext>
      </extLst>
    </cfRule>
    <cfRule type="dataBar" priority="3735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{ac8f4302-bf77-44d8-910e-9507c7088a67}</x14:id>
        </ext>
      </extLst>
    </cfRule>
    <cfRule type="dataBar" priority="3734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{79eccbcb-085c-46ee-a629-480cc5ac652d}</x14:id>
        </ext>
      </extLst>
    </cfRule>
    <cfRule type="dataBar" priority="3733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{22a4db15-2a95-4afe-a268-22a727e94d26}</x14:id>
        </ext>
      </extLst>
    </cfRule>
    <cfRule type="dataBar" priority="3732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{b9e6c776-67ba-44bf-af5b-24e34752ef51}</x14:id>
        </ext>
      </extLst>
    </cfRule>
    <cfRule type="dataBar" priority="373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{f96ba63a-35dd-4b0a-8aa1-e79f526f1342}</x14:id>
        </ext>
      </extLst>
    </cfRule>
  </conditionalFormatting>
  <conditionalFormatting sqref="AD60">
    <cfRule type="dataBar" priority="3760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{5d96fa7d-3c86-4919-9698-748a12ff42b4}</x14:id>
        </ext>
      </extLst>
    </cfRule>
    <cfRule type="dataBar" priority="3759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{4651ecab-26b6-4eeb-82c1-ba48336a702c}</x14:id>
        </ext>
      </extLst>
    </cfRule>
    <cfRule type="dataBar" priority="375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{2b56a4cf-8fd8-45b4-a3e2-0a1efaac78da}</x14:id>
        </ext>
      </extLst>
    </cfRule>
    <cfRule type="dataBar" priority="3757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{f63aa823-9865-48dc-9394-5e927fab843d}</x14:id>
        </ext>
      </extLst>
    </cfRule>
    <cfRule type="dataBar" priority="3756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{1a56e43b-c44c-48a1-8730-bbe0f86158bc}</x14:id>
        </ext>
      </extLst>
    </cfRule>
    <cfRule type="dataBar" priority="3755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{e2666ba1-614c-4fb7-bbc0-c6e415bcb179}</x14:id>
        </ext>
      </extLst>
    </cfRule>
    <cfRule type="dataBar" priority="3754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{926b9aa9-5f4f-472c-b450-01f8dd536a30}</x14:id>
        </ext>
      </extLst>
    </cfRule>
    <cfRule type="dataBar" priority="375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{9130bf04-8546-4dec-807e-f9618131eb06}</x14:id>
        </ext>
      </extLst>
    </cfRule>
  </conditionalFormatting>
  <conditionalFormatting sqref="K61">
    <cfRule type="dataBar" priority="3727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{70f4b5aa-e064-485c-b5a2-74109b60be8d}</x14:id>
        </ext>
      </extLst>
    </cfRule>
    <cfRule type="dataBar" priority="3726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{11c09cc5-f662-4d58-b985-f94885011f3e}</x14:id>
        </ext>
      </extLst>
    </cfRule>
    <cfRule type="dataBar" priority="3725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{3c258f1c-f43b-4190-81a9-31278ffa4c0b}</x14:id>
        </ext>
      </extLst>
    </cfRule>
    <cfRule type="dataBar" priority="3724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{460e833c-5fcc-43c8-a0de-b58531654cce}</x14:id>
        </ext>
      </extLst>
    </cfRule>
    <cfRule type="dataBar" priority="3723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{65896c6e-1f60-47b1-a6b2-ab0f0a83ff57}</x14:id>
        </ext>
      </extLst>
    </cfRule>
    <cfRule type="dataBar" priority="3722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{225e6ae3-ffe4-4832-9d0e-64364bdca911}</x14:id>
        </ext>
      </extLst>
    </cfRule>
    <cfRule type="dataBar" priority="3721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{3309748b-dfeb-4b59-9612-df0137523be2}</x14:id>
        </ext>
      </extLst>
    </cfRule>
    <cfRule type="dataBar" priority="371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{19899705-1c0f-4953-8a7c-9e0a84a6e6a7}</x14:id>
        </ext>
      </extLst>
    </cfRule>
  </conditionalFormatting>
  <conditionalFormatting sqref="K62">
    <cfRule type="dataBar" priority="3716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{52b4e27b-edbc-49ff-8d1f-30586f21005f}</x14:id>
        </ext>
      </extLst>
    </cfRule>
    <cfRule type="dataBar" priority="371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{e606366b-a47d-4fce-af22-92822dee6d53}</x14:id>
        </ext>
      </extLst>
    </cfRule>
    <cfRule type="dataBar" priority="371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{10b36dcd-3ca9-4dc0-9d12-d446dfc15f63}</x14:id>
        </ext>
      </extLst>
    </cfRule>
    <cfRule type="dataBar" priority="3713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{83be260a-704c-4531-ad7b-fc74217964fd}</x14:id>
        </ext>
      </extLst>
    </cfRule>
    <cfRule type="dataBar" priority="3712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{484d040a-ca61-49e2-9820-284397b4e44f}</x14:id>
        </ext>
      </extLst>
    </cfRule>
    <cfRule type="dataBar" priority="3711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{1fc26570-e7be-47d8-b206-b3cfb4e05980}</x14:id>
        </ext>
      </extLst>
    </cfRule>
    <cfRule type="dataBar" priority="3710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{ae4c0290-f9e0-4d44-9f2e-f1a06009f35a}</x14:id>
        </ext>
      </extLst>
    </cfRule>
    <cfRule type="dataBar" priority="370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{953e9ecf-948b-4efd-a6bd-b145f027389c}</x14:id>
        </ext>
      </extLst>
    </cfRule>
  </conditionalFormatting>
  <conditionalFormatting sqref="K63">
    <cfRule type="dataBar" priority="3705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{40a46591-af6c-48b5-a523-41b779c03c4c}</x14:id>
        </ext>
      </extLst>
    </cfRule>
    <cfRule type="dataBar" priority="370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{ab2e7f69-c50d-487f-878a-650ceb659327}</x14:id>
        </ext>
      </extLst>
    </cfRule>
    <cfRule type="dataBar" priority="370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{eafa1ab2-3847-4276-9d38-f3db5203b754}</x14:id>
        </ext>
      </extLst>
    </cfRule>
    <cfRule type="dataBar" priority="370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{efd478b7-3c2b-4255-8961-890b0e99464c}</x14:id>
        </ext>
      </extLst>
    </cfRule>
    <cfRule type="dataBar" priority="3701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{715e64d3-d146-4087-893f-82dfa2b68ba0}</x14:id>
        </ext>
      </extLst>
    </cfRule>
    <cfRule type="dataBar" priority="3700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{d53ceb99-c113-40f0-82ef-a3efe9346adc}</x14:id>
        </ext>
      </extLst>
    </cfRule>
    <cfRule type="dataBar" priority="3699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{8540eb8a-fba1-4cb8-9fd3-a46b8855801b}</x14:id>
        </ext>
      </extLst>
    </cfRule>
    <cfRule type="dataBar" priority="369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{3919367d-cf15-4098-b638-93ffbae2f3da}</x14:id>
        </ext>
      </extLst>
    </cfRule>
  </conditionalFormatting>
  <conditionalFormatting sqref="AB67">
    <cfRule type="dataBar" priority="6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{eedf71da-8c0c-4e5a-9ef9-16f733f7bb2b}</x14:id>
        </ext>
      </extLst>
    </cfRule>
    <cfRule type="dataBar" priority="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{a978706b-0df9-4145-8fa7-d0768703120b}</x14:id>
        </ext>
      </extLst>
    </cfRule>
    <cfRule type="dataBar" priority="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{4959ec2b-46c6-432a-901b-97b84d457f03}</x14:id>
        </ext>
      </extLst>
    </cfRule>
  </conditionalFormatting>
  <conditionalFormatting sqref="AB101">
    <cfRule type="dataBar" priority="1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{5d736307-418c-4e7d-bc26-caa8b05007a7}</x14:id>
        </ext>
      </extLst>
    </cfRule>
    <cfRule type="dataBar" priority="1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{6d2c1282-db22-49f0-8dff-91f161226190}</x14:id>
        </ext>
      </extLst>
    </cfRule>
    <cfRule type="dataBar" priority="1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{ad936aac-4ccc-4f23-ac11-efb0f3b9fa4d}</x14:id>
        </ext>
      </extLst>
    </cfRule>
  </conditionalFormatting>
  <conditionalFormatting sqref="AB115">
    <cfRule type="dataBar" priority="1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{911b66fc-e193-4eb8-855b-2e1368a22f74}</x14:id>
        </ext>
      </extLst>
    </cfRule>
    <cfRule type="dataBar" priority="1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{713e74bd-566f-4382-ab6a-0e12f5e9c9d4}</x14:id>
        </ext>
      </extLst>
    </cfRule>
  </conditionalFormatting>
  <conditionalFormatting sqref="AB125">
    <cfRule type="dataBar" priority="3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{edc6ce1e-0125-4b80-b12f-e906a2280a49}</x14:id>
        </ext>
      </extLst>
    </cfRule>
    <cfRule type="dataBar" priority="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{ae80fc1e-f4ea-4dd8-a4d1-aa035adf65f7}</x14:id>
        </ext>
      </extLst>
    </cfRule>
    <cfRule type="dataBar" priority="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{3867c719-2c5b-4c3b-a150-dafbd9f21e1d}</x14:id>
        </ext>
      </extLst>
    </cfRule>
  </conditionalFormatting>
  <conditionalFormatting sqref="K135">
    <cfRule type="dataBar" priority="31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{2c9582b8-8ee0-452b-9775-a3ee918f6f65}</x14:id>
        </ext>
      </extLst>
    </cfRule>
    <cfRule type="dataBar" priority="3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{8c7c7f6a-c55f-4169-aa65-df483e1622fb}</x14:id>
        </ext>
      </extLst>
    </cfRule>
    <cfRule type="dataBar" priority="2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{cc60f8c6-7ab5-4f08-925b-2ba2d1347e06}</x14:id>
        </ext>
      </extLst>
    </cfRule>
  </conditionalFormatting>
  <conditionalFormatting sqref="K140">
    <cfRule type="dataBar" priority="34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{989c5a77-120e-4ef7-9401-0b4dd828d508}</x14:id>
        </ext>
      </extLst>
    </cfRule>
    <cfRule type="dataBar" priority="3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{cae0d366-93a6-4f0a-87f7-97e6f0e2992a}</x14:id>
        </ext>
      </extLst>
    </cfRule>
    <cfRule type="dataBar" priority="3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{2eb1fc4a-5d93-4a60-b0db-d1ee26943dac}</x14:id>
        </ext>
      </extLst>
    </cfRule>
  </conditionalFormatting>
  <conditionalFormatting sqref="K145">
    <cfRule type="dataBar" priority="28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{cbb04cc1-473f-4d2b-a284-8b1f1e5806b4}</x14:id>
        </ext>
      </extLst>
    </cfRule>
    <cfRule type="dataBar" priority="2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{3217b1c4-012a-43b7-abe5-cc2d9315a9c7}</x14:id>
        </ext>
      </extLst>
    </cfRule>
    <cfRule type="dataBar" priority="2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{3ae7b952-7515-4592-b63e-e447079a52f1}</x14:id>
        </ext>
      </extLst>
    </cfRule>
  </conditionalFormatting>
  <conditionalFormatting sqref="K150">
    <cfRule type="dataBar" priority="25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{48cdd583-f439-4118-a7eb-adc8a5c616fe}</x14:id>
        </ext>
      </extLst>
    </cfRule>
    <cfRule type="dataBar" priority="2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{d3055f7e-f86a-438c-82f7-d2a033cad152}</x14:id>
        </ext>
      </extLst>
    </cfRule>
    <cfRule type="dataBar" priority="2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{a91314e6-a3cc-49f9-8fb6-1a1b91c361a7}</x14:id>
        </ext>
      </extLst>
    </cfRule>
  </conditionalFormatting>
  <conditionalFormatting sqref="K57:K58">
    <cfRule type="dataBar" priority="3749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{4ebc1d00-4ee2-40a0-9939-9da9667cd3a9}</x14:id>
        </ext>
      </extLst>
    </cfRule>
    <cfRule type="dataBar" priority="3748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{8d732b5e-bc14-4282-8e71-87bd255ba434}</x14:id>
        </ext>
      </extLst>
    </cfRule>
    <cfRule type="dataBar" priority="374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{da16034a-58d6-4ee3-879f-998fe9262ba9}</x14:id>
        </ext>
      </extLst>
    </cfRule>
    <cfRule type="dataBar" priority="3746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{cfa76ac8-3850-4818-9e3a-f9bdbb56b741}</x14:id>
        </ext>
      </extLst>
    </cfRule>
    <cfRule type="dataBar" priority="3745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{9ec8e3d1-84ab-40bc-8a89-192b514cc0d3}</x14:id>
        </ext>
      </extLst>
    </cfRule>
    <cfRule type="dataBar" priority="3744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{f30bfd8d-ed71-4c6f-b3a0-76679c60c84b}</x14:id>
        </ext>
      </extLst>
    </cfRule>
    <cfRule type="dataBar" priority="3743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{315c8095-5310-4eaa-a869-8f9449157ff3}</x14:id>
        </ext>
      </extLst>
    </cfRule>
    <cfRule type="dataBar" priority="374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{f17ffa41-bedc-48e1-b23f-1bb4c30a26b9}</x14:id>
        </ext>
      </extLst>
    </cfRule>
  </conditionalFormatting>
  <conditionalFormatting sqref="Y67:Y86">
    <cfRule type="dataBar" priority="2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{9a22b9cf-7e89-4d67-8eba-aba49a51ba58}</x14:id>
        </ext>
      </extLst>
    </cfRule>
    <cfRule type="dataBar" priority="2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{1244d046-cc21-4fda-b571-a7d362d41cde}</x14:id>
        </ext>
      </extLst>
    </cfRule>
  </conditionalFormatting>
  <conditionalFormatting sqref="Y77:Y86">
    <cfRule type="dataBar" priority="20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{d1e99945-ac53-4dc1-8da3-679850d6effe}</x14:id>
        </ext>
      </extLst>
    </cfRule>
  </conditionalFormatting>
  <conditionalFormatting sqref="AB115:AB124">
    <cfRule type="dataBar" priority="1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{e3138be4-72d6-4e3a-b7c7-66d5c29bf4ea}</x14:id>
        </ext>
      </extLst>
    </cfRule>
  </conditionalFormatting>
  <conditionalFormatting sqref="AD56:AE57">
    <cfRule type="dataBar" priority="376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{9f273491-a02a-4cd7-bfcd-2952a53ad6af}</x14:id>
        </ext>
      </extLst>
    </cfRule>
  </conditionalFormatting>
  <conditionalFormatting sqref="AD60:AE63">
    <cfRule type="dataBar" priority="375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{22a23e53-6edc-4b7a-a7dc-611f981fdf1d}</x14:id>
        </ext>
      </extLst>
    </cfRule>
  </conditionalFormatting>
  <conditionalFormatting sqref="F67 F72 F77 F82">
    <cfRule type="dataBar" priority="4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{967e3a25-e4aa-4369-90fc-9cc22cd8648c}</x14:id>
        </ext>
      </extLst>
    </cfRule>
    <cfRule type="dataBar" priority="4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{183064af-aa97-44c2-8498-af7ab78e04b9}</x14:id>
        </ext>
      </extLst>
    </cfRule>
    <cfRule type="dataBar" priority="4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{63dc0918-9e24-415e-8733-b93562ce53e5}</x14:id>
        </ext>
      </extLst>
    </cfRule>
  </conditionalFormatting>
  <conditionalFormatting sqref="K67 K77 K87 K101">
    <cfRule type="dataBar" priority="40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{96d3de2d-b870-49ab-b136-e3181c0b6834}</x14:id>
        </ext>
      </extLst>
    </cfRule>
    <cfRule type="dataBar" priority="3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{c084a419-1ec3-4567-9e21-dcd7b209b1b5}</x14:id>
        </ext>
      </extLst>
    </cfRule>
    <cfRule type="dataBar" priority="3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{1fc1936e-e5cf-4e9c-9475-f450178b8875}</x14:id>
        </ext>
      </extLst>
    </cfRule>
  </conditionalFormatting>
  <conditionalFormatting sqref="AB77 AB87">
    <cfRule type="dataBar" priority="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{4de21f80-ab6a-4c92-a437-40190f95548e}</x14:id>
        </ext>
      </extLst>
    </cfRule>
    <cfRule type="dataBar" priority="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{2b964334-fe11-4aa8-8f0d-1022d2912d48}</x14:id>
        </ext>
      </extLst>
    </cfRule>
    <cfRule type="dataBar" priority="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{d77a807a-eb05-4acc-b17f-4375d79cf593}</x14:id>
        </ext>
      </extLst>
    </cfRule>
  </conditionalFormatting>
  <conditionalFormatting sqref="F87 F94 F101 F108">
    <cfRule type="dataBar" priority="46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{976b1155-83b3-4bbf-8409-8486be5b93e2}</x14:id>
        </ext>
      </extLst>
    </cfRule>
    <cfRule type="dataBar" priority="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{0fe2ae0e-7314-4267-ac36-914a2bfa672b}</x14:id>
        </ext>
      </extLst>
    </cfRule>
    <cfRule type="dataBar" priority="4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{20f85bdb-025c-442a-94c8-836f14a7c265}</x14:id>
        </ext>
      </extLst>
    </cfRule>
  </conditionalFormatting>
  <conditionalFormatting sqref="Y87 Y101">
    <cfRule type="dataBar" priority="1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{49159c48-6ed2-443c-be55-4eb502bef441}</x14:id>
        </ext>
      </extLst>
    </cfRule>
    <cfRule type="dataBar" priority="1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{8220679b-09a8-47a1-8447-204f78068b0d}</x14:id>
        </ext>
      </extLst>
    </cfRule>
  </conditionalFormatting>
  <conditionalFormatting sqref="F115 F120 F125 F130 F135 F140 F145 F150">
    <cfRule type="dataBar" priority="43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{a3a14427-3f06-445f-acf1-e471e49b6059}</x14:id>
        </ext>
      </extLst>
    </cfRule>
    <cfRule type="dataBar" priority="4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{c200053b-da06-4955-a4d5-ce67ce21ef45}</x14:id>
        </ext>
      </extLst>
    </cfRule>
    <cfRule type="dataBar" priority="4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{42032116-b0b6-42d8-a5be-a5656a9f6de8}</x14:id>
        </ext>
      </extLst>
    </cfRule>
  </conditionalFormatting>
  <conditionalFormatting sqref="K115 K125">
    <cfRule type="dataBar" priority="37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{22bd0596-7e92-407c-add9-0198101164b2}</x14:id>
        </ext>
      </extLst>
    </cfRule>
    <cfRule type="dataBar" priority="3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{03ad4fb0-7094-4b16-9fb2-5560e45de73e}</x14:id>
        </ext>
      </extLst>
    </cfRule>
    <cfRule type="dataBar" priority="3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{fce6e24a-7487-4151-87d4-701cb4b17b59}</x14:id>
        </ext>
      </extLst>
    </cfRule>
  </conditionalFormatting>
  <conditionalFormatting sqref="Y115 Y125">
    <cfRule type="dataBar" priority="1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{30281817-6aff-4384-b9cc-2041747aa4fa}</x14:id>
        </ext>
      </extLst>
    </cfRule>
    <cfRule type="dataBar" priority="1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{438d1385-a242-49fd-8383-ff26e11f080c}</x14:id>
        </ext>
      </extLst>
    </cfRule>
  </conditionalFormatting>
  <dataValidations count="7">
    <dataValidation type="list" allowBlank="1" showInputMessage="1" showErrorMessage="1" sqref="D2:H2">
      <formula1>"白,夜"</formula1>
    </dataValidation>
    <dataValidation type="list" allowBlank="1" showInputMessage="1" showErrorMessage="1" sqref="L2:N2">
      <formula1>"晴,多云,小雨,大雨,阴,雾,霾"</formula1>
    </dataValidation>
    <dataValidation allowBlank="1" showInputMessage="1" showErrorMessage="1" sqref="E5:F5 G7:O7 S7:AE7 G16:G18 S15:T18"/>
    <dataValidation type="list" allowBlank="1" showInputMessage="1" showErrorMessage="1" sqref="G5:H5">
      <formula1>"配电,弱电,暖通,消防,其他"</formula1>
    </dataValidation>
    <dataValidation type="list" allowBlank="1" showInputMessage="1" showErrorMessage="1" sqref="AB5">
      <formula1>"低,中,高"</formula1>
    </dataValidation>
    <dataValidation type="list" allowBlank="1" showInputMessage="1" showErrorMessage="1" sqref="G6:I6 P6:R6">
      <formula1>"A班,B班,C班,D班"</formula1>
    </dataValidation>
    <dataValidation type="list" allowBlank="1" showInputMessage="1" showErrorMessage="1" sqref="A11:B18 A20:B49">
      <formula1>"A楼,B楼,C楼,D楼,E楼"</formula1>
    </dataValidation>
  </dataValidations>
  <pageMargins left="0.75" right="0.75" top="1" bottom="1" header="0.5" footer="0.5"/>
  <pageSetup paperSize="9" scale="19" orientation="portrait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2076e-51ec-4ada-a9a8-7649d0dbfc47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2cd55699-38d2-4427-8f9d-ebbba0418e8c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8208dc65-4d26-444a-87e7-f91fa2a760f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24c7773b-7f01-43a8-806e-0cd7aee61c7c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e9267cdf-8e2e-4dd7-9c8f-93e2ef9f45a2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cb93ccb6-410b-43a7-b720-5a67bef0051a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bc5c2782-0af9-4b6f-9d7d-528b4ec34f4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0e6b1a4-36fb-4fda-a231-ff5e8f5ed1d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AD56</xm:sqref>
        </x14:conditionalFormatting>
        <x14:conditionalFormatting xmlns:xm="http://schemas.microsoft.com/office/excel/2006/main">
          <x14:cfRule type="dataBar" id="{3a5e319c-9346-4629-858c-067cec1080f9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8b96164f-63b1-40fa-ba31-e5243f6cc2ab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235e71dd-2115-4c5a-be6b-4fc3034c36e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ac8f4302-bf77-44d8-910e-9507c7088a67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79eccbcb-085c-46ee-a629-480cc5ac652d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22a4db15-2a95-4afe-a268-22a727e94d26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b9e6c776-67ba-44bf-af5b-24e34752ef5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96ba63a-35dd-4b0a-8aa1-e79f526f134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K60</xm:sqref>
        </x14:conditionalFormatting>
        <x14:conditionalFormatting xmlns:xm="http://schemas.microsoft.com/office/excel/2006/main">
          <x14:cfRule type="dataBar" id="{5d96fa7d-3c86-4919-9698-748a12ff42b4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4651ecab-26b6-4eeb-82c1-ba48336a702c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2b56a4cf-8fd8-45b4-a3e2-0a1efaac78d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63aa823-9865-48dc-9394-5e927fab843d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1a56e43b-c44c-48a1-8730-bbe0f86158bc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e2666ba1-614c-4fb7-bbc0-c6e415bcb179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926b9aa9-5f4f-472c-b450-01f8dd536a3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130bf04-8546-4dec-807e-f9618131eb0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AD60</xm:sqref>
        </x14:conditionalFormatting>
        <x14:conditionalFormatting xmlns:xm="http://schemas.microsoft.com/office/excel/2006/main">
          <x14:cfRule type="dataBar" id="{70f4b5aa-e064-485c-b5a2-74109b60be8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11c09cc5-f662-4d58-b985-f94885011f3e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3c258f1c-f43b-4190-81a9-31278ffa4c0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60e833c-5fcc-43c8-a0de-b58531654cce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65896c6e-1f60-47b1-a6b2-ab0f0a83ff57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225e6ae3-ffe4-4832-9d0e-64364bdca911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3309748b-dfeb-4b59-9612-df0137523be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9899705-1c0f-4953-8a7c-9e0a84a6e6a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K61</xm:sqref>
        </x14:conditionalFormatting>
        <x14:conditionalFormatting xmlns:xm="http://schemas.microsoft.com/office/excel/2006/main">
          <x14:cfRule type="dataBar" id="{52b4e27b-edbc-49ff-8d1f-30586f21005f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e606366b-a47d-4fce-af22-92822dee6d53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10b36dcd-3ca9-4dc0-9d12-d446dfc15f6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83be260a-704c-4531-ad7b-fc74217964fd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484d040a-ca61-49e2-9820-284397b4e44f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1fc26570-e7be-47d8-b206-b3cfb4e05980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ae4c0290-f9e0-4d44-9f2e-f1a06009f35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53e9ecf-948b-4efd-a6bd-b145f027389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K62</xm:sqref>
        </x14:conditionalFormatting>
        <x14:conditionalFormatting xmlns:xm="http://schemas.microsoft.com/office/excel/2006/main">
          <x14:cfRule type="dataBar" id="{40a46591-af6c-48b5-a523-41b779c03c4c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ab2e7f69-c50d-487f-878a-650ceb659327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afa1ab2-3847-4276-9d38-f3db5203b75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fd478b7-3c2b-4255-8961-890b0e99464c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715e64d3-d146-4087-893f-82dfa2b68ba0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d53ceb99-c113-40f0-82ef-a3efe9346adc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8540eb8a-fba1-4cb8-9fd3-a46b8855801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919367d-cf15-4098-b638-93ffbae2f3d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K63</xm:sqref>
        </x14:conditionalFormatting>
        <x14:conditionalFormatting xmlns:xm="http://schemas.microsoft.com/office/excel/2006/main">
          <x14:cfRule type="dataBar" id="{eedf71da-8c0c-4e5a-9ef9-16f733f7bb2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978706b-0df9-4145-8fa7-d0768703120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959ec2b-46c6-432a-901b-97b84d457f03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5d736307-418c-4e7d-bc26-caa8b05007a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d2c1282-db22-49f0-8dff-91f161226190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d936aac-4ccc-4f23-ac11-efb0f3b9fa4d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AB101</xm:sqref>
        </x14:conditionalFormatting>
        <x14:conditionalFormatting xmlns:xm="http://schemas.microsoft.com/office/excel/2006/main">
          <x14:cfRule type="dataBar" id="{911b66fc-e193-4eb8-855b-2e1368a22f7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13e74bd-566f-4382-ab6a-0e12f5e9c9d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AB115</xm:sqref>
        </x14:conditionalFormatting>
        <x14:conditionalFormatting xmlns:xm="http://schemas.microsoft.com/office/excel/2006/main">
          <x14:cfRule type="dataBar" id="{edc6ce1e-0125-4b80-b12f-e906a2280a49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e80fc1e-f4ea-4dd8-a4d1-aa035adf65f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867c719-2c5b-4c3b-a150-dafbd9f21e1d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AB125</xm:sqref>
        </x14:conditionalFormatting>
        <x14:conditionalFormatting xmlns:xm="http://schemas.microsoft.com/office/excel/2006/main">
          <x14:cfRule type="dataBar" id="{2c9582b8-8ee0-452b-9775-a3ee918f6f6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c7c7f6a-c55f-4169-aa65-df483e1622f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c60f8c6-7ab5-4f08-925b-2ba2d1347e06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K135</xm:sqref>
        </x14:conditionalFormatting>
        <x14:conditionalFormatting xmlns:xm="http://schemas.microsoft.com/office/excel/2006/main">
          <x14:cfRule type="dataBar" id="{989c5a77-120e-4ef7-9401-0b4dd828d508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ae0d366-93a6-4f0a-87f7-97e6f0e2992a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eb1fc4a-5d93-4a60-b0db-d1ee26943dac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K140</xm:sqref>
        </x14:conditionalFormatting>
        <x14:conditionalFormatting xmlns:xm="http://schemas.microsoft.com/office/excel/2006/main">
          <x14:cfRule type="dataBar" id="{cbb04cc1-473f-4d2b-a284-8b1f1e5806b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217b1c4-012a-43b7-abe5-cc2d9315a9c7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ae7b952-7515-4592-b63e-e447079a52f1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K145</xm:sqref>
        </x14:conditionalFormatting>
        <x14:conditionalFormatting xmlns:xm="http://schemas.microsoft.com/office/excel/2006/main">
          <x14:cfRule type="dataBar" id="{48cdd583-f439-4118-a7eb-adc8a5c616f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3055f7e-f86a-438c-82f7-d2a033cad152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91314e6-a3cc-49f9-8fb6-1a1b91c361a7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K150</xm:sqref>
        </x14:conditionalFormatting>
        <x14:conditionalFormatting xmlns:xm="http://schemas.microsoft.com/office/excel/2006/main">
          <x14:cfRule type="dataBar" id="{4ebc1d00-4ee2-40a0-9939-9da9667cd3a9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8d732b5e-bc14-4282-8e71-87bd255ba434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da16034a-58d6-4ee3-879f-998fe9262ba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fa76ac8-3850-4818-9e3a-f9bdbb56b741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9ec8e3d1-84ab-40bc-8a89-192b514cc0d3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f30bfd8d-ed71-4c6f-b3a0-76679c60c84b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315c8095-5310-4eaa-a869-8f9449157ff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17ffa41-bedc-48e1-b23f-1bb4c30a26b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K57:K58</xm:sqref>
        </x14:conditionalFormatting>
        <x14:conditionalFormatting xmlns:xm="http://schemas.microsoft.com/office/excel/2006/main">
          <x14:cfRule type="dataBar" id="{9a22b9cf-7e89-4d67-8eba-aba49a51ba58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244d046-cc21-4fda-b571-a7d362d41cd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Y67:Y86</xm:sqref>
        </x14:conditionalFormatting>
        <x14:conditionalFormatting xmlns:xm="http://schemas.microsoft.com/office/excel/2006/main">
          <x14:cfRule type="dataBar" id="{d1e99945-ac53-4dc1-8da3-679850d6effe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Y77:Y86</xm:sqref>
        </x14:conditionalFormatting>
        <x14:conditionalFormatting xmlns:xm="http://schemas.microsoft.com/office/excel/2006/main">
          <x14:cfRule type="dataBar" id="{e3138be4-72d6-4e3a-b7c7-66d5c29bf4ea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AB115:AB124</xm:sqref>
        </x14:conditionalFormatting>
        <x14:conditionalFormatting xmlns:xm="http://schemas.microsoft.com/office/excel/2006/main">
          <x14:cfRule type="dataBar" id="{9f273491-a02a-4cd7-bfcd-2952a53ad6a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AD56:AE57</xm:sqref>
        </x14:conditionalFormatting>
        <x14:conditionalFormatting xmlns:xm="http://schemas.microsoft.com/office/excel/2006/main">
          <x14:cfRule type="dataBar" id="{22a23e53-6edc-4b7a-a7dc-611f981fdf1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AD60:AE63</xm:sqref>
        </x14:conditionalFormatting>
        <x14:conditionalFormatting xmlns:xm="http://schemas.microsoft.com/office/excel/2006/main">
          <x14:cfRule type="dataBar" id="{967e3a25-e4aa-4369-90fc-9cc22cd8648c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83064af-aa97-44c2-8498-af7ab78e04b9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3dc0918-9e24-415e-8733-b93562ce53e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F67 F72 F77 F82</xm:sqref>
        </x14:conditionalFormatting>
        <x14:conditionalFormatting xmlns:xm="http://schemas.microsoft.com/office/excel/2006/main">
          <x14:cfRule type="dataBar" id="{96d3de2d-b870-49ab-b136-e3181c0b6834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084a419-1ec3-4567-9e21-dcd7b209b1b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fc1936e-e5cf-4e9c-9475-f450178b887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K67 K77 K87 K101</xm:sqref>
        </x14:conditionalFormatting>
        <x14:conditionalFormatting xmlns:xm="http://schemas.microsoft.com/office/excel/2006/main">
          <x14:cfRule type="dataBar" id="{4de21f80-ab6a-4c92-a437-40190f95548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b964334-fe11-4aa8-8f0d-1022d2912d48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d77a807a-eb05-4acc-b17f-4375d79cf593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AB77 AB87</xm:sqref>
        </x14:conditionalFormatting>
        <x14:conditionalFormatting xmlns:xm="http://schemas.microsoft.com/office/excel/2006/main">
          <x14:cfRule type="dataBar" id="{976b1155-83b3-4bbf-8409-8486be5b93e2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fe2ae0e-7314-4267-ac36-914a2bfa672b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0f85bdb-025c-442a-94c8-836f14a7c26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F87 F94 F101 F108</xm:sqref>
        </x14:conditionalFormatting>
        <x14:conditionalFormatting xmlns:xm="http://schemas.microsoft.com/office/excel/2006/main">
          <x14:cfRule type="dataBar" id="{49159c48-6ed2-443c-be55-4eb502bef441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220679b-09a8-47a1-8447-204f78068b0d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Y87 Y101</xm:sqref>
        </x14:conditionalFormatting>
        <x14:conditionalFormatting xmlns:xm="http://schemas.microsoft.com/office/excel/2006/main">
          <x14:cfRule type="dataBar" id="{a3a14427-3f06-445f-acf1-e471e49b6059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200053b-da06-4955-a4d5-ce67ce21ef45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2032116-b0b6-42d8-a5be-a5656a9f6de8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F115 F120 F125 F130 F135 F140 F145 F150</xm:sqref>
        </x14:conditionalFormatting>
        <x14:conditionalFormatting xmlns:xm="http://schemas.microsoft.com/office/excel/2006/main">
          <x14:cfRule type="dataBar" id="{22bd0596-7e92-407c-add9-0198101164b2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3ad4fb0-7094-4b16-9fb2-5560e45de73e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ce6e24a-7487-4151-87d4-701cb4b17b59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K115 K125</xm:sqref>
        </x14:conditionalFormatting>
        <x14:conditionalFormatting xmlns:xm="http://schemas.microsoft.com/office/excel/2006/main">
          <x14:cfRule type="dataBar" id="{30281817-6aff-4384-b9cc-2041747aa4fa}">
            <x14:dataBar minLength="0" maxLength="10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38d1385-a242-49fd-8383-ff26e11f080c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Y115 Y125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15" sqref="J15"/>
    </sheetView>
  </sheetViews>
  <sheetFormatPr defaultColWidth="9" defaultRowHeight="14" outlineLevelRow="5"/>
  <cols>
    <col min="1" max="1" width="26.8818181818182" style="1" customWidth="1"/>
    <col min="2" max="2" width="9.38181818181818" style="1" customWidth="1"/>
    <col min="3" max="3" width="9.21818181818182" style="1" customWidth="1"/>
    <col min="18" max="18" width="9.38181818181818" style="1" customWidth="1"/>
  </cols>
  <sheetData>
    <row r="1" spans="1:18">
      <c r="A1" s="2" t="s">
        <v>365</v>
      </c>
      <c r="B1" s="3" t="s">
        <v>366</v>
      </c>
      <c r="C1" s="3" t="s">
        <v>367</v>
      </c>
      <c r="D1" s="3" t="s">
        <v>368</v>
      </c>
      <c r="E1" s="3" t="s">
        <v>369</v>
      </c>
      <c r="F1" s="3" t="s">
        <v>370</v>
      </c>
      <c r="G1" s="3" t="s">
        <v>371</v>
      </c>
      <c r="H1" s="3" t="s">
        <v>372</v>
      </c>
      <c r="I1" s="3" t="s">
        <v>373</v>
      </c>
      <c r="J1" s="3" t="s">
        <v>374</v>
      </c>
      <c r="K1" s="3" t="s">
        <v>375</v>
      </c>
      <c r="L1" s="3" t="s">
        <v>376</v>
      </c>
      <c r="M1" s="3" t="s">
        <v>377</v>
      </c>
      <c r="N1" s="3" t="s">
        <v>378</v>
      </c>
      <c r="O1" s="3" t="s">
        <v>379</v>
      </c>
      <c r="P1" s="3" t="s">
        <v>380</v>
      </c>
      <c r="Q1" s="3" t="s">
        <v>381</v>
      </c>
      <c r="R1" s="3" t="s">
        <v>382</v>
      </c>
    </row>
    <row r="2" spans="1:18">
      <c r="A2" s="3" t="s">
        <v>383</v>
      </c>
      <c r="B2" s="4">
        <v>36.11</v>
      </c>
      <c r="C2" s="4">
        <v>47.21</v>
      </c>
      <c r="D2" s="5">
        <v>79.76</v>
      </c>
      <c r="E2" s="5">
        <v>80.65</v>
      </c>
      <c r="F2" s="5">
        <v>80.27</v>
      </c>
      <c r="G2" s="5">
        <v>78.83</v>
      </c>
      <c r="H2" s="5">
        <v>79.23</v>
      </c>
      <c r="I2" s="5">
        <v>78.95</v>
      </c>
      <c r="J2" s="5">
        <v>79.46</v>
      </c>
      <c r="K2" s="5">
        <v>78.25</v>
      </c>
      <c r="L2" s="5">
        <v>78.23</v>
      </c>
      <c r="M2" s="5">
        <v>80.08</v>
      </c>
      <c r="N2" s="5">
        <v>79.28</v>
      </c>
      <c r="O2" s="5">
        <v>79.3</v>
      </c>
      <c r="P2" s="5">
        <v>79.38</v>
      </c>
      <c r="Q2" s="5">
        <v>79.48</v>
      </c>
      <c r="R2" s="3"/>
    </row>
    <row r="3" spans="1:18">
      <c r="A3" s="3" t="s">
        <v>384</v>
      </c>
      <c r="B3" s="6">
        <v>12689.5</v>
      </c>
      <c r="C3" s="6">
        <v>16615.58</v>
      </c>
      <c r="D3" s="7">
        <v>801.22</v>
      </c>
      <c r="E3" s="7">
        <v>807.87</v>
      </c>
      <c r="F3" s="7">
        <v>803.82</v>
      </c>
      <c r="G3" s="7">
        <v>790.36</v>
      </c>
      <c r="H3" s="7">
        <v>799.66</v>
      </c>
      <c r="I3" s="7">
        <v>791.34</v>
      </c>
      <c r="J3" s="7">
        <v>795.61</v>
      </c>
      <c r="K3" s="7">
        <v>783.56</v>
      </c>
      <c r="L3" s="7">
        <v>784.22</v>
      </c>
      <c r="M3" s="7">
        <v>802.77</v>
      </c>
      <c r="N3" s="7">
        <v>806.57</v>
      </c>
      <c r="O3" s="7">
        <v>794.49</v>
      </c>
      <c r="P3" s="7">
        <v>801.54</v>
      </c>
      <c r="Q3" s="7">
        <v>795.54</v>
      </c>
      <c r="R3" s="8">
        <f>SUM(B3:Q3)</f>
        <v>40463.65</v>
      </c>
    </row>
    <row r="4" ht="28" customHeight="1" spans="1:18">
      <c r="A4" s="9" t="s">
        <v>385</v>
      </c>
      <c r="B4" s="7">
        <f t="shared" ref="B4:O4" si="0">B3*0.86/1000</f>
        <v>10.91297</v>
      </c>
      <c r="C4" s="7">
        <f t="shared" si="0"/>
        <v>14.2893988</v>
      </c>
      <c r="D4" s="7">
        <f t="shared" si="0"/>
        <v>0.6890492</v>
      </c>
      <c r="E4" s="7">
        <f t="shared" si="0"/>
        <v>0.6947682</v>
      </c>
      <c r="F4" s="7">
        <f t="shared" si="0"/>
        <v>0.6912852</v>
      </c>
      <c r="G4" s="7">
        <f t="shared" si="0"/>
        <v>0.6797096</v>
      </c>
      <c r="H4" s="7">
        <f t="shared" si="0"/>
        <v>0.6877076</v>
      </c>
      <c r="I4" s="7">
        <f t="shared" si="0"/>
        <v>0.6805524</v>
      </c>
      <c r="J4" s="7">
        <f t="shared" si="0"/>
        <v>0.6842246</v>
      </c>
      <c r="K4" s="7">
        <f t="shared" si="0"/>
        <v>0.6738616</v>
      </c>
      <c r="L4" s="7">
        <f t="shared" si="0"/>
        <v>0.6744292</v>
      </c>
      <c r="M4" s="7">
        <f t="shared" si="0"/>
        <v>0.6903822</v>
      </c>
      <c r="N4" s="7">
        <f t="shared" si="0"/>
        <v>0.6936502</v>
      </c>
      <c r="O4" s="7">
        <f t="shared" si="0"/>
        <v>0.6832614</v>
      </c>
      <c r="P4" s="7">
        <v>0.63</v>
      </c>
      <c r="Q4" s="7">
        <v>0.62</v>
      </c>
      <c r="R4" s="8">
        <f>SUM(B4:Q4)</f>
        <v>34.6752502</v>
      </c>
    </row>
    <row r="6" spans="1:18">
      <c r="A6" t="s">
        <v>386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数据1_1_1_3_1_1_1_1" rangeCreator="" othersAccessPermission="edit"/>
    <arrUserId title="数据2_1_1_2_1_1_1_1_1_1_1_1_3_2_2_3_4_2_1_4_1" rangeCreator="" othersAccessPermission="edit"/>
    <arrUserId title="数据2_1_1_1_1_1_1_1_1_2_1_2_1_1_3_1_4_2_1_3_1_1" rangeCreator="" othersAccessPermission="edit"/>
    <arrUserId title="数据1_2_1_1_1_1_1" rangeCreator="" othersAccessPermission="edit"/>
    <arrUserId title="数据1_1_1_4_1_1_1_1_1_1" rangeCreator="" othersAccessPermission="edit"/>
    <arrUserId title="数据1_2_1_2_1_1" rangeCreator="" othersAccessPermission="edit"/>
    <arrUserId title="数据1_1_1_5_1_1_1_2" rangeCreator="" othersAccessPermission="edit"/>
    <arrUserId title="数据2_1_1_1_1_1_1_1_1_1_5_1_1_1_1_1_1_1_4_2_1_3_1" rangeCreator="" othersAccessPermission="edit"/>
    <arrUserId title="数据1_1_1_4_1_1_1" rangeCreator="" othersAccessPermission="edit"/>
    <arrUserId title="数据1_1_1_1_1_1_1_2_1" rangeCreator="" othersAccessPermission="edit"/>
    <arrUserId title="数据1_1_1_4_1_1_1_1_1_1_1" rangeCreator="" othersAccessPermission="edit"/>
    <arrUserId title="数据2_1_1_2_1_1_1_1_1_1_1_1_3_2_2_3_4_2_1_4" rangeCreator="" othersAccessPermission="edit"/>
    <arrUserId title="数据1_2_1_2_1_1_1" rangeCreator="" othersAccessPermission="edit"/>
    <arrUserId title="数据1_1_1_6_1_1_2" rangeCreator="" othersAccessPermission="edit"/>
    <arrUserId title="数据1_1_1_5_1_1_1_2_1" rangeCreator="" othersAccessPermission="edit"/>
    <arrUserId title="数据2_1_1_1_1_1_1_1_1_2_1_2_1_1_3_1_4_2_1_3_1" rangeCreator="" othersAccessPermission="edit"/>
    <arrUserId title="数据2_1_1_1_1_1_1_1_1_1_5_1_1_1_1_1_1_1_4_2_1_3_1_1" rangeCreator="" othersAccessPermission="edit"/>
    <arrUserId title="数据1_1_1_3_1_1_1_1_1" rangeCreator="" othersAccessPermission="edit"/>
    <arrUserId title="数据1_1_1_4_1_1_1_1" rangeCreator="" othersAccessPermission="edit"/>
    <arrUserId title="数据1_2_1_1_1_1" rangeCreator="" othersAccessPermission="edit"/>
    <arrUserId title="数据1_1_1_1_1_1_1_2_1_1" rangeCreator="" othersAccessPermission="edit"/>
    <arrUserId title="数据1_1_1_6_1_1_3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本班组</vt:lpstr>
      <vt:lpstr>油量附表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梅冰冰</dc:creator>
  <cp:lastModifiedBy>皮皮瞎</cp:lastModifiedBy>
  <dcterms:created xsi:type="dcterms:W3CDTF">2020-05-01T14:43:00Z</dcterms:created>
  <dcterms:modified xsi:type="dcterms:W3CDTF">2026-04-16T07:52:01Z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DF80DC6E670A415A8F2FBD3B54B72C3C_13</vt:lpwstr>
  </property>
  <property fmtid="{D5CDD505-2E9C-101B-9397-08002B2CF9AE}" pid="5" name="CalculationRule">
    <vt:i4>0</vt:i4>
  </property>
</Properties>
</file>